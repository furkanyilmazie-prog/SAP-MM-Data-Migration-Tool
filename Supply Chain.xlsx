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ntak\OneDrive\Masaüstü\"/>
    </mc:Choice>
  </mc:AlternateContent>
  <xr:revisionPtr revIDLastSave="0" documentId="13_ncr:1_{32A2E965-C4B8-4865-B4CB-AF1ED724D406}" xr6:coauthVersionLast="47" xr6:coauthVersionMax="47" xr10:uidLastSave="{00000000-0000-0000-0000-000000000000}"/>
  <bookViews>
    <workbookView xWindow="-105" yWindow="105" windowWidth="14610" windowHeight="15480" xr2:uid="{00000000-000D-0000-FFFF-FFFF00000000}"/>
  </bookViews>
  <sheets>
    <sheet name="Tedarik Zinciri Projesi ve CV F" sheetId="1" r:id="rId1"/>
    <sheet name="Pivot Tablo 1" sheetId="2" r:id="rId2"/>
  </sheets>
  <definedNames>
    <definedName name="SlicerCache_Table_1_Col_8">#N/A</definedName>
    <definedName name="Z_BA86293A_6E21_4B57_9EF3_716588DFB281_.wvu.FilterData" localSheetId="0" hidden="1">'Tedarik Zinciri Projesi ve CV F'!$A$1:$M$26</definedName>
  </definedNames>
  <calcPr calcId="191029"/>
  <customWorkbookViews>
    <customWorkbookView name="Filtre 1" guid="{BA86293A-6E21-4B57-9EF3-716588DFB281}" maximized="1" windowWidth="0" windowHeight="0" activeSheetId="0"/>
  </customWorkbookViews>
  <pivotCaches>
    <pivotCache cacheId="5" r:id="rId3"/>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26" i="1" l="1"/>
  <c r="L26" i="1"/>
  <c r="K26" i="1"/>
  <c r="J26" i="1"/>
  <c r="M25" i="1"/>
  <c r="L25" i="1"/>
  <c r="K25" i="1"/>
  <c r="J25" i="1"/>
  <c r="P2" i="1" s="1"/>
  <c r="M24" i="1"/>
  <c r="L24" i="1"/>
  <c r="K24" i="1"/>
  <c r="J24" i="1"/>
  <c r="M23" i="1"/>
  <c r="L23" i="1"/>
  <c r="K23" i="1"/>
  <c r="J23" i="1"/>
  <c r="M22" i="1"/>
  <c r="L22" i="1"/>
  <c r="K22" i="1"/>
  <c r="J22" i="1"/>
  <c r="M21" i="1"/>
  <c r="L21" i="1"/>
  <c r="K21" i="1"/>
  <c r="J21" i="1"/>
  <c r="M20" i="1"/>
  <c r="L20" i="1"/>
  <c r="K20" i="1"/>
  <c r="J20" i="1"/>
  <c r="M19" i="1"/>
  <c r="L19" i="1"/>
  <c r="K19" i="1"/>
  <c r="J19" i="1"/>
  <c r="M18" i="1"/>
  <c r="L18" i="1"/>
  <c r="K18" i="1"/>
  <c r="J18" i="1"/>
  <c r="M17" i="1"/>
  <c r="L17" i="1"/>
  <c r="K17" i="1"/>
  <c r="J17" i="1"/>
  <c r="M16" i="1"/>
  <c r="L16" i="1"/>
  <c r="K16" i="1"/>
  <c r="J16" i="1"/>
  <c r="M15" i="1"/>
  <c r="L15" i="1"/>
  <c r="K15" i="1"/>
  <c r="J15" i="1"/>
  <c r="M14" i="1"/>
  <c r="L14" i="1"/>
  <c r="K14" i="1"/>
  <c r="J14" i="1"/>
  <c r="M13" i="1"/>
  <c r="L13" i="1"/>
  <c r="K13" i="1"/>
  <c r="J13" i="1"/>
  <c r="M12" i="1"/>
  <c r="L12" i="1"/>
  <c r="K12" i="1"/>
  <c r="J12" i="1"/>
  <c r="M11" i="1"/>
  <c r="L11" i="1"/>
  <c r="K11" i="1"/>
  <c r="J11" i="1"/>
  <c r="M10" i="1"/>
  <c r="L10" i="1"/>
  <c r="K10" i="1"/>
  <c r="J10" i="1"/>
  <c r="M9" i="1"/>
  <c r="L9" i="1"/>
  <c r="K9" i="1"/>
  <c r="J9" i="1"/>
  <c r="M8" i="1"/>
  <c r="L8" i="1"/>
  <c r="K8" i="1"/>
  <c r="J8" i="1"/>
  <c r="M7" i="1"/>
  <c r="L7" i="1"/>
  <c r="K7" i="1"/>
  <c r="J7" i="1"/>
  <c r="M6" i="1"/>
  <c r="L6" i="1"/>
  <c r="K6" i="1"/>
  <c r="J6" i="1"/>
  <c r="M5" i="1"/>
  <c r="L5" i="1"/>
  <c r="K5" i="1"/>
  <c r="J5" i="1"/>
  <c r="M4" i="1"/>
  <c r="L4" i="1"/>
  <c r="K4" i="1"/>
  <c r="J4" i="1"/>
  <c r="M3" i="1"/>
  <c r="L3" i="1"/>
  <c r="K3" i="1"/>
  <c r="J3" i="1"/>
  <c r="M2" i="1"/>
  <c r="L2" i="1"/>
  <c r="K2" i="1"/>
  <c r="J2" i="1"/>
</calcChain>
</file>

<file path=xl/sharedStrings.xml><?xml version="1.0" encoding="utf-8"?>
<sst xmlns="http://schemas.openxmlformats.org/spreadsheetml/2006/main" count="150" uniqueCount="67">
  <si>
    <t>Kategori</t>
  </si>
  <si>
    <t>Karne</t>
  </si>
  <si>
    <t xml:space="preserve"> </t>
  </si>
  <si>
    <t>PO-101</t>
  </si>
  <si>
    <t>T-01</t>
  </si>
  <si>
    <t>SR-50</t>
  </si>
  <si>
    <t>Zamanında</t>
  </si>
  <si>
    <t>Metal</t>
  </si>
  <si>
    <t>PO-102</t>
  </si>
  <si>
    <t>T-02</t>
  </si>
  <si>
    <t>SR-20</t>
  </si>
  <si>
    <t>Gecikmeli</t>
  </si>
  <si>
    <t>Plastik</t>
  </si>
  <si>
    <t>PO-103</t>
  </si>
  <si>
    <t>T-03</t>
  </si>
  <si>
    <t>SR-10</t>
  </si>
  <si>
    <t>Hammadde</t>
  </si>
  <si>
    <t>PO-104</t>
  </si>
  <si>
    <t>T-04</t>
  </si>
  <si>
    <t>Elektronik</t>
  </si>
  <si>
    <t>PO-105</t>
  </si>
  <si>
    <t>SR-80</t>
  </si>
  <si>
    <t>T-05</t>
  </si>
  <si>
    <t>Kimyasal</t>
  </si>
  <si>
    <t>PO-106</t>
  </si>
  <si>
    <t>PO-107</t>
  </si>
  <si>
    <t>PO-108</t>
  </si>
  <si>
    <t>PO-109</t>
  </si>
  <si>
    <t>SR-99</t>
  </si>
  <si>
    <t>PO-110</t>
  </si>
  <si>
    <t>PO-111</t>
  </si>
  <si>
    <t>PO-112</t>
  </si>
  <si>
    <t>PO-113</t>
  </si>
  <si>
    <t>PO-114</t>
  </si>
  <si>
    <t>PO-115</t>
  </si>
  <si>
    <t>PO-116</t>
  </si>
  <si>
    <t>PO-117</t>
  </si>
  <si>
    <t>PO-118</t>
  </si>
  <si>
    <t>PO-119</t>
  </si>
  <si>
    <t>PO-120</t>
  </si>
  <si>
    <t>Kritik Gecikme</t>
  </si>
  <si>
    <t>PO-121</t>
  </si>
  <si>
    <t>PO-122</t>
  </si>
  <si>
    <t>PO-123</t>
  </si>
  <si>
    <t>PO-124</t>
  </si>
  <si>
    <t>PO-125</t>
  </si>
  <si>
    <t>A Sınıfı</t>
  </si>
  <si>
    <t>B Sınıfı</t>
  </si>
  <si>
    <t>C Sınıfı</t>
  </si>
  <si>
    <t>D Sınıfı</t>
  </si>
  <si>
    <t>Genel Toplam</t>
  </si>
  <si>
    <t>SUM of Sipariş Tutarı</t>
  </si>
  <si>
    <t>Date</t>
  </si>
  <si>
    <t>Supplier_ID</t>
  </si>
  <si>
    <t>Order_ID</t>
  </si>
  <si>
    <t>Product_Code</t>
  </si>
  <si>
    <t>Order_Quantity</t>
  </si>
  <si>
    <t>Unit_Price</t>
  </si>
  <si>
    <t>Lead_Time_Days</t>
  </si>
  <si>
    <t>Delivery_Status</t>
  </si>
  <si>
    <t>Quality_Score</t>
  </si>
  <si>
    <t>Category</t>
  </si>
  <si>
    <t>Scorecard</t>
  </si>
  <si>
    <t>Risk Risk_Status</t>
  </si>
  <si>
    <t>Order_Amount</t>
  </si>
  <si>
    <t>Total_Metal_On_Time</t>
  </si>
  <si>
    <t>On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</si>
</sst>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TRY-41F]"/>
    <numFmt numFmtId="165" formatCode="dd\.mm\.yyyy"/>
  </numFmts>
  <fonts count="4">
    <font>
      <sz val="10"/>
      <color rgb="FF000000"/>
      <name val="Arial"/>
      <scheme val="minor"/>
    </font>
    <font>
      <sz val="10"/>
      <color theme="1"/>
      <name val="Arial"/>
      <scheme val="minor"/>
    </font>
    <font>
      <sz val="10"/>
      <color rgb="FF1F1F1F"/>
      <name val="&quot;Google Sans Text&quot;"/>
    </font>
    <font>
      <b/>
      <sz val="10"/>
      <color theme="1"/>
      <name val="Arial"/>
      <scheme val="minor"/>
    </font>
  </fonts>
  <fills count="2">
    <fill>
      <patternFill patternType="none"/>
    </fill>
    <fill>
      <patternFill patternType="gray125"/>
    </fill>
  </fills>
  <borders count="11">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right/>
      <top style="thin">
        <color rgb="FF999999"/>
      </top>
      <bottom/>
      <diagonal/>
    </border>
    <border>
      <left style="thin">
        <color rgb="FF999999"/>
      </left>
      <right style="thin">
        <color rgb="FF999999"/>
      </right>
      <top style="thin">
        <color rgb="FF999999"/>
      </top>
      <bottom/>
      <diagonal/>
    </border>
    <border>
      <left style="thin">
        <color rgb="FF999999"/>
      </left>
      <right/>
      <top/>
      <bottom/>
      <diagonal/>
    </border>
    <border>
      <left style="thin">
        <color rgb="FF999999"/>
      </left>
      <right style="thin">
        <color rgb="FF999999"/>
      </right>
      <top/>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26">
    <xf numFmtId="0" fontId="0" fillId="0" borderId="0" xfId="0" applyFont="1" applyAlignment="1"/>
    <xf numFmtId="0" fontId="1" fillId="0" borderId="0" xfId="0" applyFont="1" applyAlignment="1"/>
    <xf numFmtId="0" fontId="2" fillId="0" borderId="0" xfId="0" applyFont="1" applyAlignment="1"/>
    <xf numFmtId="164" fontId="1" fillId="0" borderId="0" xfId="0" applyNumberFormat="1" applyFont="1" applyAlignment="1"/>
    <xf numFmtId="0" fontId="1" fillId="0" borderId="0" xfId="0" applyFont="1"/>
    <xf numFmtId="164" fontId="3" fillId="0" borderId="0" xfId="0" applyNumberFormat="1" applyFont="1" applyAlignment="1"/>
    <xf numFmtId="165" fontId="1" fillId="0" borderId="0" xfId="0" applyNumberFormat="1" applyFont="1" applyAlignment="1"/>
    <xf numFmtId="0" fontId="1" fillId="0" borderId="0" xfId="0" applyFont="1"/>
    <xf numFmtId="164" fontId="1" fillId="0" borderId="0" xfId="0" applyNumberFormat="1" applyFont="1"/>
    <xf numFmtId="0" fontId="0" fillId="0" borderId="1" xfId="0" pivotButton="1" applyFont="1" applyBorder="1" applyAlignment="1"/>
    <xf numFmtId="0" fontId="0" fillId="0" borderId="2" xfId="0" applyFont="1" applyBorder="1" applyAlignment="1"/>
    <xf numFmtId="0" fontId="0" fillId="0" borderId="3" xfId="0" applyFont="1" applyBorder="1" applyAlignment="1"/>
    <xf numFmtId="0" fontId="0" fillId="0" borderId="1" xfId="0" applyFont="1" applyBorder="1" applyAlignment="1"/>
    <xf numFmtId="0" fontId="0" fillId="0" borderId="4" xfId="0" applyFont="1" applyBorder="1" applyAlignment="1"/>
    <xf numFmtId="0" fontId="0" fillId="0" borderId="5" xfId="0" applyFont="1" applyBorder="1" applyAlignment="1"/>
    <xf numFmtId="0" fontId="0" fillId="0" borderId="1" xfId="0" applyNumberFormat="1" applyFont="1" applyBorder="1" applyAlignment="1"/>
    <xf numFmtId="0" fontId="0" fillId="0" borderId="4" xfId="0" applyNumberFormat="1" applyFont="1" applyBorder="1" applyAlignment="1"/>
    <xf numFmtId="0" fontId="0" fillId="0" borderId="5" xfId="0" applyNumberFormat="1" applyFont="1" applyBorder="1" applyAlignment="1"/>
    <xf numFmtId="0" fontId="0" fillId="0" borderId="6" xfId="0" applyFont="1" applyBorder="1" applyAlignment="1"/>
    <xf numFmtId="0" fontId="0" fillId="0" borderId="6" xfId="0" applyNumberFormat="1" applyFont="1" applyBorder="1" applyAlignment="1"/>
    <xf numFmtId="0" fontId="0" fillId="0" borderId="0" xfId="0" applyNumberFormat="1" applyFont="1" applyAlignment="1"/>
    <xf numFmtId="0" fontId="0" fillId="0" borderId="7" xfId="0" applyNumberFormat="1" applyFont="1" applyBorder="1" applyAlignment="1"/>
    <xf numFmtId="0" fontId="0" fillId="0" borderId="8" xfId="0" applyFont="1" applyBorder="1" applyAlignment="1"/>
    <xf numFmtId="0" fontId="0" fillId="0" borderId="8" xfId="0" applyNumberFormat="1" applyFont="1" applyBorder="1" applyAlignment="1"/>
    <xf numFmtId="0" fontId="0" fillId="0" borderId="9" xfId="0" applyNumberFormat="1" applyFont="1" applyBorder="1" applyAlignment="1"/>
    <xf numFmtId="0" fontId="0" fillId="0" borderId="10" xfId="0" applyNumberFormat="1" applyFont="1" applyBorder="1" applyAlignment="1"/>
  </cellXfs>
  <cellStyles count="1">
    <cellStyle name="Normal" xfId="0" builtinId="0"/>
  </cellStyles>
  <dxfs count="2">
    <dxf>
      <fill>
        <patternFill patternType="solid">
          <fgColor rgb="FFB7E1CD"/>
          <bgColor rgb="FFB7E1CD"/>
        </patternFill>
      </fill>
    </dxf>
    <dxf>
      <font>
        <b/>
        <color rgb="FFFFFFFF"/>
      </font>
      <fill>
        <patternFill patternType="solid">
          <fgColor rgb="FFE06666"/>
          <bgColor rgb="FFE0666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15</xdr:col>
      <xdr:colOff>1181100</xdr:colOff>
      <xdr:row>9</xdr:row>
      <xdr:rowOff>9525</xdr:rowOff>
    </xdr:from>
    <xdr:ext cx="3476625" cy="2152650"/>
    <xdr:pic>
      <xdr:nvPicPr>
        <xdr:cNvPr id="576334377" name="Chart1" title="Grafik">
          <a:extLst>
            <a:ext uri="{FF2B5EF4-FFF2-40B4-BE49-F238E27FC236}">
              <a16:creationId xmlns:a16="http://schemas.microsoft.com/office/drawing/2014/main" id="{00000000-0008-0000-0000-0000292A5A22}"/>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7</xdr:col>
      <xdr:colOff>209550</xdr:colOff>
      <xdr:row>0</xdr:row>
      <xdr:rowOff>76200</xdr:rowOff>
    </xdr:from>
    <xdr:ext cx="2857500" cy="2857500"/>
    <mc:AlternateContent xmlns:mc="http://schemas.openxmlformats.org/markup-compatibility/2006" xmlns:sle15="http://schemas.microsoft.com/office/drawing/2012/slicer">
      <mc:Choice Requires="sle15">
        <xdr:graphicFrame macro="">
          <xdr:nvGraphicFramePr>
            <xdr:cNvPr id="2" name="Teslim_Durumu_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microsoft.com/office/drawing/2010/slicer">
              <sle:slicer xmlns:sle="http://schemas.microsoft.com/office/drawing/2010/slicer" name="Teslim_Durumu_1"/>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Hakan Yılmaz" refreshedDate="46121.509493981481" refreshedVersion="8" recordCount="999" xr:uid="{00000000-000A-0000-FFFF-FFFF00000000}">
  <cacheSource type="worksheet">
    <worksheetSource ref="A1:Z1000" sheet="Tedarik Zinciri Projesi ve CV F"/>
  </cacheSource>
  <cacheFields count="26">
    <cacheField name="Sipariş_No" numFmtId="0">
      <sharedItems containsBlank="1"/>
    </cacheField>
    <cacheField name="Tarih" numFmtId="0">
      <sharedItems containsNonDate="0" containsDate="1" containsString="0" containsBlank="1" minDate="2026-03-01T00:00:00" maxDate="2026-03-26T00:00:00"/>
    </cacheField>
    <cacheField name="Tedarikçi_ID" numFmtId="0">
      <sharedItems containsBlank="1"/>
    </cacheField>
    <cacheField name="Ürün_Kodu" numFmtId="0">
      <sharedItems containsBlank="1"/>
    </cacheField>
    <cacheField name="Sipariş_Miktarı" numFmtId="0">
      <sharedItems containsString="0" containsBlank="1" containsNumber="1" containsInteger="1" minValue="40" maxValue="1200"/>
    </cacheField>
    <cacheField name="Birim_Fiyat" numFmtId="0">
      <sharedItems containsString="0" containsBlank="1" containsNumber="1" containsInteger="1" minValue="8" maxValue="300"/>
    </cacheField>
    <cacheField name="Termin_Süresi_Gün" numFmtId="0">
      <sharedItems containsString="0" containsBlank="1" containsNumber="1" containsInteger="1" minValue="2" maxValue="25"/>
    </cacheField>
    <cacheField name="Teslim_Durumu" numFmtId="0">
      <sharedItems containsBlank="1"/>
    </cacheField>
    <cacheField name="Kalite_Puanı" numFmtId="0">
      <sharedItems containsString="0" containsBlank="1" containsNumber="1" containsInteger="1" minValue="15" maxValue="100"/>
    </cacheField>
    <cacheField name="Kategori" numFmtId="0">
      <sharedItems containsBlank="1" count="6">
        <s v="Metal"/>
        <s v="Plastik"/>
        <s v="Hammadde"/>
        <s v="Elektronik"/>
        <s v="Kimyasal"/>
        <m/>
      </sharedItems>
    </cacheField>
    <cacheField name="Karne" numFmtId="0">
      <sharedItems containsBlank="1" count="5">
        <s v="A Sınıfı"/>
        <s v="B Sınıfı"/>
        <s v="C Sınıfı"/>
        <s v="D Sınıfı"/>
        <m/>
      </sharedItems>
    </cacheField>
    <cacheField name="Risk Durumu" numFmtId="0">
      <sharedItems containsBlank="1"/>
    </cacheField>
    <cacheField name="Sipariş Tutarı" numFmtId="164">
      <sharedItems containsString="0" containsBlank="1" containsNumber="1" containsInteger="1" minValue="5400" maxValue="24000"/>
    </cacheField>
    <cacheField name=" " numFmtId="0">
      <sharedItems containsNonDate="0" containsString="0" containsBlank="1"/>
    </cacheField>
    <cacheField name=" 2" numFmtId="0">
      <sharedItems containsNonDate="0" containsString="0" containsBlank="1"/>
    </cacheField>
    <cacheField name="Metal ve Zamanında Gelenler Toplamı" numFmtId="164">
      <sharedItems containsString="0" containsBlank="1" containsNumber="1" containsInteger="1" minValue="25200" maxValue="25200"/>
    </cacheField>
    <cacheField name=" 3" numFmtId="0">
      <sharedItems containsNonDate="0" containsString="0" containsBlank="1"/>
    </cacheField>
    <cacheField name=" 4" numFmtId="0">
      <sharedItems containsNonDate="0" containsString="0" containsBlank="1"/>
    </cacheField>
    <cacheField name="Tedarikçi_ID2" numFmtId="0">
      <sharedItems containsBlank="1"/>
    </cacheField>
    <cacheField name="Kategori2" numFmtId="0">
      <sharedItems containsBlank="1"/>
    </cacheField>
    <cacheField name=" 5" numFmtId="0">
      <sharedItems containsNonDate="0" containsString="0" containsBlank="1"/>
    </cacheField>
    <cacheField name=" 6" numFmtId="0">
      <sharedItems containsNonDate="0" containsString="0" containsBlank="1"/>
    </cacheField>
    <cacheField name=" 7" numFmtId="0">
      <sharedItems containsNonDate="0" containsString="0" containsBlank="1"/>
    </cacheField>
    <cacheField name=" 8" numFmtId="0">
      <sharedItems containsNonDate="0" containsString="0" containsBlank="1"/>
    </cacheField>
    <cacheField name=" 9" numFmtId="0">
      <sharedItems containsNonDate="0" containsString="0" containsBlank="1"/>
    </cacheField>
    <cacheField name=" 10"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
  <r>
    <s v="PO-101"/>
    <d v="2026-03-01T00:00:00"/>
    <s v="T-01"/>
    <s v="SR-50"/>
    <n v="500"/>
    <n v="12"/>
    <n v="5"/>
    <s v="Zamanında"/>
    <n v="95"/>
    <x v="0"/>
    <x v="0"/>
    <s v="Güvenli"/>
    <n v="6000"/>
    <m/>
    <m/>
    <n v="25200"/>
    <m/>
    <m/>
    <s v="T-01"/>
    <s v="Metal"/>
    <m/>
    <m/>
    <m/>
    <m/>
    <m/>
    <m/>
  </r>
  <r>
    <s v="PO-102"/>
    <d v="2026-03-02T00:00:00"/>
    <s v="T-02"/>
    <s v="SR-20"/>
    <n v="200"/>
    <n v="45"/>
    <n v="12"/>
    <s v="Gecikmeli"/>
    <n v="80"/>
    <x v="1"/>
    <x v="1"/>
    <s v="Güvenli"/>
    <n v="9000"/>
    <m/>
    <m/>
    <m/>
    <m/>
    <m/>
    <s v="T-02"/>
    <s v="Plastik"/>
    <m/>
    <m/>
    <m/>
    <m/>
    <m/>
    <m/>
  </r>
  <r>
    <s v="PO-103"/>
    <d v="2026-03-03T00:00:00"/>
    <s v="T-03"/>
    <s v="SR-10"/>
    <n v="1000"/>
    <n v="8"/>
    <n v="3"/>
    <s v="Zamanında"/>
    <n v="100"/>
    <x v="2"/>
    <x v="0"/>
    <s v="Güvenli"/>
    <n v="8000"/>
    <m/>
    <m/>
    <m/>
    <m/>
    <m/>
    <s v="T-03"/>
    <s v="Hammadde"/>
    <m/>
    <m/>
    <m/>
    <m/>
    <m/>
    <m/>
  </r>
  <r>
    <s v="PO-104"/>
    <d v="2026-03-04T00:00:00"/>
    <s v="T-01"/>
    <s v="SR-50"/>
    <n v="450"/>
    <n v="12"/>
    <n v="7"/>
    <s v="Gecikmeli"/>
    <n v="60"/>
    <x v="0"/>
    <x v="2"/>
    <s v="Güvenli"/>
    <n v="5400"/>
    <m/>
    <m/>
    <m/>
    <m/>
    <m/>
    <s v="T-04"/>
    <s v="Elektronik"/>
    <m/>
    <m/>
    <m/>
    <m/>
    <m/>
    <m/>
  </r>
  <r>
    <s v="PO-105"/>
    <d v="2026-03-05T00:00:00"/>
    <s v="T-04"/>
    <s v="SR-80"/>
    <n v="150"/>
    <n v="120"/>
    <n v="15"/>
    <s v="Gecikmeli"/>
    <n v="45"/>
    <x v="3"/>
    <x v="3"/>
    <s v="⚠️ RİSKLİ"/>
    <n v="18000"/>
    <m/>
    <m/>
    <m/>
    <m/>
    <m/>
    <s v="T-05"/>
    <s v="Kimyasal"/>
    <m/>
    <m/>
    <m/>
    <m/>
    <m/>
    <m/>
  </r>
  <r>
    <s v="PO-106"/>
    <d v="2026-03-06T00:00:00"/>
    <s v="T-02"/>
    <s v="SR-20"/>
    <n v="300"/>
    <n v="45"/>
    <n v="10"/>
    <s v="Zamanında"/>
    <n v="88"/>
    <x v="1"/>
    <x v="1"/>
    <s v="Güvenli"/>
    <n v="13500"/>
    <m/>
    <m/>
    <m/>
    <m/>
    <m/>
    <m/>
    <m/>
    <m/>
    <m/>
    <m/>
    <m/>
    <m/>
    <m/>
  </r>
  <r>
    <s v="PO-107"/>
    <d v="2026-03-07T00:00:00"/>
    <s v="T-03"/>
    <s v="SR-10"/>
    <n v="1200"/>
    <n v="8"/>
    <n v="4"/>
    <s v="Zamanında"/>
    <n v="92"/>
    <x v="2"/>
    <x v="0"/>
    <s v="Güvenli"/>
    <n v="9600"/>
    <m/>
    <m/>
    <m/>
    <m/>
    <m/>
    <m/>
    <m/>
    <m/>
    <m/>
    <m/>
    <m/>
    <m/>
    <m/>
  </r>
  <r>
    <s v="PO-108"/>
    <d v="2026-03-08T00:00:00"/>
    <s v="T-01"/>
    <s v="SR-50"/>
    <n v="600"/>
    <n v="12"/>
    <n v="4"/>
    <s v="Zamanında"/>
    <n v="98"/>
    <x v="0"/>
    <x v="0"/>
    <s v="Güvenli"/>
    <n v="7200"/>
    <m/>
    <m/>
    <m/>
    <m/>
    <m/>
    <m/>
    <m/>
    <m/>
    <m/>
    <m/>
    <m/>
    <m/>
    <m/>
  </r>
  <r>
    <s v="PO-109"/>
    <d v="2026-03-09T00:00:00"/>
    <s v="T-05"/>
    <s v="SR-99"/>
    <n v="50"/>
    <n v="300"/>
    <n v="20"/>
    <s v="Gecikmeli"/>
    <n v="30"/>
    <x v="4"/>
    <x v="3"/>
    <s v="⚠️ RİSKLİ"/>
    <n v="15000"/>
    <m/>
    <m/>
    <m/>
    <m/>
    <m/>
    <m/>
    <m/>
    <m/>
    <m/>
    <m/>
    <m/>
    <m/>
    <m/>
  </r>
  <r>
    <s v="PO-110"/>
    <d v="2026-03-10T00:00:00"/>
    <s v="T-04"/>
    <s v="SR-80"/>
    <n v="200"/>
    <n v="120"/>
    <n v="12"/>
    <s v="Zamanında"/>
    <n v="85"/>
    <x v="3"/>
    <x v="1"/>
    <s v="Güvenli"/>
    <n v="24000"/>
    <m/>
    <m/>
    <m/>
    <m/>
    <m/>
    <m/>
    <m/>
    <m/>
    <m/>
    <m/>
    <m/>
    <m/>
    <m/>
  </r>
  <r>
    <s v="PO-111"/>
    <d v="2026-03-11T00:00:00"/>
    <s v="T-02"/>
    <s v="SR-20"/>
    <n v="250"/>
    <n v="45"/>
    <n v="14"/>
    <s v="Gecikmeli"/>
    <n v="70"/>
    <x v="1"/>
    <x v="2"/>
    <s v="Güvenli"/>
    <n v="11250"/>
    <m/>
    <m/>
    <m/>
    <m/>
    <m/>
    <m/>
    <m/>
    <m/>
    <m/>
    <m/>
    <m/>
    <m/>
    <m/>
  </r>
  <r>
    <s v="PO-112"/>
    <d v="2026-03-12T00:00:00"/>
    <s v="T-03"/>
    <s v="SR-10"/>
    <n v="900"/>
    <n v="8"/>
    <n v="2"/>
    <s v="Zamanında"/>
    <n v="100"/>
    <x v="2"/>
    <x v="0"/>
    <s v="Güvenli"/>
    <n v="7200"/>
    <m/>
    <m/>
    <m/>
    <m/>
    <m/>
    <m/>
    <m/>
    <m/>
    <m/>
    <m/>
    <m/>
    <m/>
    <m/>
  </r>
  <r>
    <s v="PO-113"/>
    <d v="2026-03-13T00:00:00"/>
    <s v="T-01"/>
    <s v="SR-50"/>
    <n v="550"/>
    <n v="12"/>
    <n v="6"/>
    <s v="Gecikmeli"/>
    <n v="75"/>
    <x v="0"/>
    <x v="1"/>
    <s v="Güvenli"/>
    <n v="6600"/>
    <m/>
    <m/>
    <m/>
    <m/>
    <m/>
    <m/>
    <m/>
    <m/>
    <m/>
    <m/>
    <m/>
    <m/>
    <m/>
  </r>
  <r>
    <s v="PO-114"/>
    <d v="2026-03-14T00:00:00"/>
    <s v="T-05"/>
    <s v="SR-99"/>
    <n v="80"/>
    <n v="300"/>
    <n v="18"/>
    <s v="Gecikmeli"/>
    <n v="50"/>
    <x v="4"/>
    <x v="2"/>
    <s v="⚠️ RİSKLİ"/>
    <n v="24000"/>
    <m/>
    <m/>
    <m/>
    <m/>
    <m/>
    <m/>
    <m/>
    <m/>
    <m/>
    <m/>
    <m/>
    <m/>
    <m/>
  </r>
  <r>
    <s v="PO-115"/>
    <d v="2026-03-15T00:00:00"/>
    <s v="T-02"/>
    <s v="SR-20"/>
    <n v="350"/>
    <n v="45"/>
    <n v="9"/>
    <s v="Zamanında"/>
    <n v="90"/>
    <x v="1"/>
    <x v="0"/>
    <s v="Güvenli"/>
    <n v="15750"/>
    <m/>
    <m/>
    <m/>
    <m/>
    <m/>
    <m/>
    <m/>
    <m/>
    <m/>
    <m/>
    <m/>
    <m/>
    <m/>
  </r>
  <r>
    <s v="PO-116"/>
    <d v="2026-03-16T00:00:00"/>
    <s v="T-03"/>
    <s v="SR-10"/>
    <n v="1100"/>
    <n v="8"/>
    <n v="5"/>
    <s v="Zamanında"/>
    <n v="94"/>
    <x v="2"/>
    <x v="0"/>
    <s v="Güvenli"/>
    <n v="8800"/>
    <m/>
    <m/>
    <m/>
    <m/>
    <m/>
    <m/>
    <m/>
    <m/>
    <m/>
    <m/>
    <m/>
    <m/>
    <m/>
  </r>
  <r>
    <s v="PO-117"/>
    <d v="2026-03-17T00:00:00"/>
    <s v="T-01"/>
    <s v="SR-50"/>
    <n v="480"/>
    <n v="12"/>
    <n v="3"/>
    <s v="Zamanında"/>
    <n v="99"/>
    <x v="0"/>
    <x v="0"/>
    <s v="Güvenli"/>
    <n v="5760"/>
    <m/>
    <m/>
    <m/>
    <m/>
    <m/>
    <m/>
    <m/>
    <m/>
    <m/>
    <m/>
    <m/>
    <m/>
    <m/>
  </r>
  <r>
    <s v="PO-118"/>
    <d v="2026-03-18T00:00:00"/>
    <s v="T-04"/>
    <s v="SR-80"/>
    <n v="180"/>
    <n v="120"/>
    <n v="14"/>
    <s v="Gecikmeli"/>
    <n v="65"/>
    <x v="3"/>
    <x v="2"/>
    <s v="⚠️ RİSKLİ"/>
    <n v="21600"/>
    <m/>
    <m/>
    <m/>
    <m/>
    <m/>
    <m/>
    <m/>
    <m/>
    <m/>
    <m/>
    <m/>
    <m/>
    <m/>
  </r>
  <r>
    <s v="PO-119"/>
    <d v="2026-03-19T00:00:00"/>
    <s v="T-02"/>
    <s v="SR-20"/>
    <n v="220"/>
    <n v="45"/>
    <n v="11"/>
    <s v="Zamanında"/>
    <n v="82"/>
    <x v="1"/>
    <x v="1"/>
    <s v="Güvenli"/>
    <n v="9900"/>
    <m/>
    <m/>
    <m/>
    <m/>
    <m/>
    <m/>
    <m/>
    <m/>
    <m/>
    <m/>
    <m/>
    <m/>
    <m/>
  </r>
  <r>
    <s v="PO-120"/>
    <d v="2026-03-20T00:00:00"/>
    <s v="T-05"/>
    <s v="SR-99"/>
    <n v="60"/>
    <n v="300"/>
    <n v="25"/>
    <s v="Kritik Gecikme"/>
    <n v="20"/>
    <x v="4"/>
    <x v="3"/>
    <s v="⚠️ RİSKLİ"/>
    <n v="18000"/>
    <m/>
    <m/>
    <m/>
    <m/>
    <m/>
    <m/>
    <m/>
    <m/>
    <m/>
    <m/>
    <m/>
    <m/>
    <m/>
  </r>
  <r>
    <s v="PO-121"/>
    <d v="2026-03-21T00:00:00"/>
    <s v="T-03"/>
    <s v="SR-10"/>
    <n v="1000"/>
    <n v="8"/>
    <n v="4"/>
    <s v="Zamanında"/>
    <n v="96"/>
    <x v="2"/>
    <x v="0"/>
    <s v="Güvenli"/>
    <n v="8000"/>
    <m/>
    <m/>
    <m/>
    <m/>
    <m/>
    <m/>
    <m/>
    <m/>
    <m/>
    <m/>
    <m/>
    <m/>
    <m/>
  </r>
  <r>
    <s v="PO-122"/>
    <d v="2026-03-22T00:00:00"/>
    <s v="T-01"/>
    <s v="SR-50"/>
    <n v="520"/>
    <n v="12"/>
    <n v="5"/>
    <s v="Zamanında"/>
    <n v="93"/>
    <x v="0"/>
    <x v="0"/>
    <s v="Güvenli"/>
    <n v="6240"/>
    <m/>
    <m/>
    <m/>
    <m/>
    <m/>
    <m/>
    <m/>
    <m/>
    <m/>
    <m/>
    <m/>
    <m/>
    <m/>
  </r>
  <r>
    <s v="PO-123"/>
    <d v="2026-03-23T00:00:00"/>
    <s v="T-04"/>
    <s v="SR-80"/>
    <n v="140"/>
    <n v="120"/>
    <n v="16"/>
    <s v="Kritik Gecikme"/>
    <n v="40"/>
    <x v="3"/>
    <x v="3"/>
    <s v="⚠️ RİSKLİ"/>
    <n v="16800"/>
    <m/>
    <m/>
    <m/>
    <m/>
    <m/>
    <m/>
    <m/>
    <m/>
    <m/>
    <m/>
    <m/>
    <m/>
    <m/>
  </r>
  <r>
    <s v="PO-124"/>
    <d v="2026-03-24T00:00:00"/>
    <s v="T-02"/>
    <s v="SR-20"/>
    <n v="280"/>
    <n v="45"/>
    <n v="8"/>
    <s v="Zamanında"/>
    <n v="89"/>
    <x v="1"/>
    <x v="1"/>
    <s v="Güvenli"/>
    <n v="12600"/>
    <m/>
    <m/>
    <m/>
    <m/>
    <m/>
    <m/>
    <m/>
    <m/>
    <m/>
    <m/>
    <m/>
    <m/>
    <m/>
  </r>
  <r>
    <s v="PO-125"/>
    <d v="2026-03-25T00:00:00"/>
    <s v="T-05"/>
    <s v="SR-99"/>
    <n v="40"/>
    <n v="300"/>
    <n v="22"/>
    <s v="Kritik Gecikme"/>
    <n v="15"/>
    <x v="4"/>
    <x v="3"/>
    <s v="⚠️ RİSKLİ"/>
    <n v="12000"/>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r>
    <m/>
    <m/>
    <m/>
    <m/>
    <m/>
    <m/>
    <m/>
    <m/>
    <m/>
    <x v="5"/>
    <x v="4"/>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 Tablo 1" cacheId="5" applyNumberFormats="0" applyBorderFormats="0" applyFontFormats="0" applyPatternFormats="0" applyAlignmentFormats="0" applyWidthHeightFormats="0" dataCaption="" updatedVersion="8" compact="0" compactData="0">
  <location ref="A1:F8" firstHeaderRow="1" firstDataRow="2" firstDataCol="1"/>
  <pivotFields count="26">
    <pivotField name="Sipariş_No" compact="0" outline="0" multipleItemSelectionAllowed="1" showAll="0"/>
    <pivotField name="Tarih" compact="0" numFmtId="165" outline="0" multipleItemSelectionAllowed="1" showAll="0"/>
    <pivotField name="Tedarikçi_ID" compact="0" outline="0" multipleItemSelectionAllowed="1" showAll="0"/>
    <pivotField name="Ürün_Kodu" compact="0" outline="0" multipleItemSelectionAllowed="1" showAll="0"/>
    <pivotField name="Sipariş_Miktarı" compact="0" outline="0" multipleItemSelectionAllowed="1" showAll="0"/>
    <pivotField name="Birim_Fiyat" compact="0" outline="0" multipleItemSelectionAllowed="1" showAll="0"/>
    <pivotField name="Termin_Süresi_Gün" compact="0" outline="0" multipleItemSelectionAllowed="1" showAll="0"/>
    <pivotField name="Teslim_Durumu" compact="0" outline="0" multipleItemSelectionAllowed="1" showAll="0"/>
    <pivotField name="Kalite_Puanı" compact="0" outline="0" multipleItemSelectionAllowed="1" showAll="0"/>
    <pivotField name="Kategori" axis="axisRow" compact="0" outline="0" multipleItemSelectionAllowed="1" showAll="0" sortType="ascending">
      <items count="7">
        <item x="3"/>
        <item x="2"/>
        <item x="4"/>
        <item x="0"/>
        <item x="1"/>
        <item h="1" x="5"/>
        <item t="default"/>
      </items>
    </pivotField>
    <pivotField name="Karne" axis="axisCol" compact="0" outline="0" multipleItemSelectionAllowed="1" showAll="0" sortType="ascending">
      <items count="6">
        <item x="0"/>
        <item x="1"/>
        <item x="2"/>
        <item x="3"/>
        <item x="4"/>
        <item t="default"/>
      </items>
    </pivotField>
    <pivotField name="Risk Durumu" compact="0" outline="0" multipleItemSelectionAllowed="1" showAll="0"/>
    <pivotField name="Sipariş Tutarı" dataField="1" compact="0" numFmtId="164" outline="0" multipleItemSelectionAllowed="1" showAll="0"/>
    <pivotField name=" " compact="0" outline="0" multipleItemSelectionAllowed="1" showAll="0"/>
    <pivotField name=" 2" compact="0" outline="0" multipleItemSelectionAllowed="1" showAll="0"/>
    <pivotField name="Metal ve Zamanında Gelenler Toplamı" compact="0" numFmtId="164" outline="0" multipleItemSelectionAllowed="1" showAll="0"/>
    <pivotField name=" 3" compact="0" outline="0" multipleItemSelectionAllowed="1" showAll="0"/>
    <pivotField name=" 4" compact="0" outline="0" multipleItemSelectionAllowed="1" showAll="0"/>
    <pivotField compact="0" outline="0" showAll="0" includeNewItemsInFilter="1"/>
    <pivotField name="kategori2" compact="0" outline="0" multipleItemSelectionAllowed="1" showAll="0"/>
    <pivotField name=" 5" compact="0" outline="0" multipleItemSelectionAllowed="1" showAll="0"/>
    <pivotField name=" 6" compact="0" outline="0" multipleItemSelectionAllowed="1" showAll="0"/>
    <pivotField name=" 7" compact="0" outline="0" multipleItemSelectionAllowed="1" showAll="0"/>
    <pivotField name=" 8" compact="0" outline="0" multipleItemSelectionAllowed="1" showAll="0"/>
    <pivotField name=" 9" compact="0" outline="0" multipleItemSelectionAllowed="1" showAll="0"/>
    <pivotField name=" 10" compact="0" outline="0" multipleItemSelectionAllowed="1" showAll="0"/>
  </pivotFields>
  <rowFields count="1">
    <field x="9"/>
  </rowFields>
  <rowItems count="6">
    <i>
      <x/>
    </i>
    <i>
      <x v="1"/>
    </i>
    <i>
      <x v="2"/>
    </i>
    <i>
      <x v="3"/>
    </i>
    <i>
      <x v="4"/>
    </i>
    <i t="grand">
      <x/>
    </i>
  </rowItems>
  <colFields count="1">
    <field x="10"/>
  </colFields>
  <colItems count="5">
    <i>
      <x/>
    </i>
    <i>
      <x v="1"/>
    </i>
    <i>
      <x v="2"/>
    </i>
    <i>
      <x v="3"/>
    </i>
    <i t="grand">
      <x/>
    </i>
  </colItems>
  <dataFields count="1">
    <dataField name="SUM of Sipariş Tutarı" fld="12"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1_Col_8" xr10:uid="{00000000-0013-0000-FFFF-FFFF01000000}" sourceName="Delivery_Status">
  <extLst>
    <x:ext xmlns:x15="http://schemas.microsoft.com/office/spreadsheetml/2010/11/main" uri="{2F2917AC-EB37-4324-AD4E-5DD8C200BD13}">
      <x15:tableSlicerCache tableId="1" column="8"/>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slim_Durumu_1" xr10:uid="{00000000-0014-0000-FFFF-FFFF01000000}" cache="SlicerCache_Table_1_Col_8" caption="Delivery_Status"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M26">
  <autoFilter ref="A1:M26" xr:uid="{00000000-0009-0000-0100-000001000000}"/>
  <tableColumns count="13">
    <tableColumn id="1" xr3:uid="{00000000-0010-0000-0000-000001000000}" name="Order_ID"/>
    <tableColumn id="2" xr3:uid="{00000000-0010-0000-0000-000002000000}" name="Date"/>
    <tableColumn id="3" xr3:uid="{00000000-0010-0000-0000-000003000000}" name="Supplier_ID"/>
    <tableColumn id="4" xr3:uid="{00000000-0010-0000-0000-000004000000}" name="Product_Code"/>
    <tableColumn id="5" xr3:uid="{00000000-0010-0000-0000-000005000000}" name="Order_Quantity"/>
    <tableColumn id="6" xr3:uid="{00000000-0010-0000-0000-000006000000}" name="Unit_Price"/>
    <tableColumn id="7" xr3:uid="{00000000-0010-0000-0000-000007000000}" name="Lead_Time_Days"/>
    <tableColumn id="8" xr3:uid="{00000000-0010-0000-0000-000008000000}" name="Delivery_Status"/>
    <tableColumn id="9" xr3:uid="{00000000-0010-0000-0000-000009000000}" name="Quality_Score"/>
    <tableColumn id="10" xr3:uid="{00000000-0010-0000-0000-00000A000000}" name="Category"/>
    <tableColumn id="11" xr3:uid="{00000000-0010-0000-0000-00000B000000}" name="Scorecard"/>
    <tableColumn id="12" xr3:uid="{00000000-0010-0000-0000-00000C000000}" name="Risk Risk_Status"/>
    <tableColumn id="13" xr3:uid="{00000000-0010-0000-0000-00000D000000}" name="Order_Amount"/>
  </tableColumns>
  <tableStyleInfo showFirstColumn="0" showLastColumn="0" showRowStripes="0"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showGridLines="0" tabSelected="1" topLeftCell="E1" workbookViewId="0">
      <selection activeCell="J2" sqref="J2"/>
    </sheetView>
  </sheetViews>
  <sheetFormatPr defaultColWidth="12.5703125" defaultRowHeight="15.75" customHeight="1"/>
  <cols>
    <col min="5" max="5" width="16" bestFit="1" customWidth="1"/>
    <col min="7" max="7" width="15.7109375" customWidth="1"/>
    <col min="8" max="8" width="16.28515625" bestFit="1" customWidth="1"/>
    <col min="13" max="13" width="15.42578125" bestFit="1" customWidth="1"/>
    <col min="16" max="16" width="30.7109375" customWidth="1"/>
  </cols>
  <sheetData>
    <row r="1" spans="1:26">
      <c r="A1" s="1" t="s">
        <v>54</v>
      </c>
      <c r="B1" s="1" t="s">
        <v>52</v>
      </c>
      <c r="C1" s="1" t="s">
        <v>53</v>
      </c>
      <c r="D1" s="1" t="s">
        <v>55</v>
      </c>
      <c r="E1" s="1" t="s">
        <v>56</v>
      </c>
      <c r="F1" s="1" t="s">
        <v>57</v>
      </c>
      <c r="G1" s="1" t="s">
        <v>58</v>
      </c>
      <c r="H1" s="1" t="s">
        <v>59</v>
      </c>
      <c r="I1" s="1" t="s">
        <v>60</v>
      </c>
      <c r="J1" s="1" t="s">
        <v>61</v>
      </c>
      <c r="K1" s="2" t="s">
        <v>62</v>
      </c>
      <c r="L1" s="2" t="s">
        <v>63</v>
      </c>
      <c r="M1" s="3" t="s">
        <v>64</v>
      </c>
      <c r="N1" s="4" t="s">
        <v>2</v>
      </c>
      <c r="O1" s="4" t="s">
        <v>2</v>
      </c>
      <c r="P1" s="5" t="s">
        <v>65</v>
      </c>
      <c r="Q1" s="4" t="s">
        <v>2</v>
      </c>
      <c r="R1" s="4" t="s">
        <v>2</v>
      </c>
      <c r="S1" s="2" t="s">
        <v>53</v>
      </c>
      <c r="T1" s="2" t="s">
        <v>61</v>
      </c>
      <c r="U1" s="4" t="s">
        <v>2</v>
      </c>
      <c r="V1" s="4" t="s">
        <v>2</v>
      </c>
      <c r="W1" s="4" t="s">
        <v>2</v>
      </c>
      <c r="X1" s="4" t="s">
        <v>2</v>
      </c>
      <c r="Y1" s="4" t="s">
        <v>2</v>
      </c>
      <c r="Z1" s="4" t="s">
        <v>2</v>
      </c>
    </row>
    <row r="2" spans="1:26">
      <c r="A2" s="1" t="s">
        <v>3</v>
      </c>
      <c r="B2" s="6">
        <v>46082</v>
      </c>
      <c r="C2" s="1" t="s">
        <v>4</v>
      </c>
      <c r="D2" s="1" t="s">
        <v>5</v>
      </c>
      <c r="E2" s="1">
        <v>500</v>
      </c>
      <c r="F2" s="1">
        <v>12</v>
      </c>
      <c r="G2" s="1">
        <v>5</v>
      </c>
      <c r="H2" s="1" t="s">
        <v>66</v>
      </c>
      <c r="I2" s="1">
        <v>95</v>
      </c>
      <c r="J2" s="4" t="str">
        <f t="shared" ref="J2:J26" si="0">VLOOKUP(C2, $S$2:$T$6, 2, 0)</f>
        <v>Metal</v>
      </c>
      <c r="K2" s="2" t="str">
        <f t="shared" ref="K2:K26" si="1">IF(I2&gt;=90, "A Sınıfı", IF(I2&gt;=75, "B Sınıfı", IF(I2&gt;=50, "C Sınıfı", "D Sınıfı")))</f>
        <v>A Sınıfı</v>
      </c>
      <c r="L2" s="7" t="str">
        <f t="shared" ref="L2:L26" si="2">IF(AND(G2&gt;10, I2&lt;70), "⚠️ RİSKLİ", "Güvenli")</f>
        <v>Güvenli</v>
      </c>
      <c r="M2" s="3">
        <f t="shared" ref="M2:M26" si="3">E2*F2</f>
        <v>6000</v>
      </c>
      <c r="P2" s="8">
        <f>SUMIFS(M:M, J:J, "Metal", H:H, "Zamanında")</f>
        <v>19200</v>
      </c>
      <c r="S2" s="2" t="s">
        <v>4</v>
      </c>
      <c r="T2" s="2" t="s">
        <v>7</v>
      </c>
    </row>
    <row r="3" spans="1:26">
      <c r="A3" s="1" t="s">
        <v>8</v>
      </c>
      <c r="B3" s="6">
        <v>46083</v>
      </c>
      <c r="C3" s="1" t="s">
        <v>9</v>
      </c>
      <c r="D3" s="1" t="s">
        <v>10</v>
      </c>
      <c r="E3" s="1">
        <v>200</v>
      </c>
      <c r="F3" s="1">
        <v>45</v>
      </c>
      <c r="G3" s="1">
        <v>12</v>
      </c>
      <c r="H3" s="1" t="s">
        <v>11</v>
      </c>
      <c r="I3" s="1">
        <v>80</v>
      </c>
      <c r="J3" s="4" t="str">
        <f t="shared" si="0"/>
        <v>Plastik</v>
      </c>
      <c r="K3" s="2" t="str">
        <f t="shared" si="1"/>
        <v>B Sınıfı</v>
      </c>
      <c r="L3" s="7" t="str">
        <f t="shared" si="2"/>
        <v>Güvenli</v>
      </c>
      <c r="M3" s="3">
        <f t="shared" si="3"/>
        <v>9000</v>
      </c>
      <c r="P3" s="8"/>
      <c r="S3" s="2" t="s">
        <v>9</v>
      </c>
      <c r="T3" s="2" t="s">
        <v>12</v>
      </c>
    </row>
    <row r="4" spans="1:26">
      <c r="A4" s="1" t="s">
        <v>13</v>
      </c>
      <c r="B4" s="6">
        <v>46084</v>
      </c>
      <c r="C4" s="1" t="s">
        <v>14</v>
      </c>
      <c r="D4" s="1" t="s">
        <v>15</v>
      </c>
      <c r="E4" s="1">
        <v>1000</v>
      </c>
      <c r="F4" s="1">
        <v>8</v>
      </c>
      <c r="G4" s="1">
        <v>3</v>
      </c>
      <c r="H4" s="1" t="s">
        <v>6</v>
      </c>
      <c r="I4" s="1">
        <v>100</v>
      </c>
      <c r="J4" s="4" t="str">
        <f t="shared" si="0"/>
        <v>Hammadde</v>
      </c>
      <c r="K4" s="2" t="str">
        <f t="shared" si="1"/>
        <v>A Sınıfı</v>
      </c>
      <c r="L4" s="7" t="str">
        <f t="shared" si="2"/>
        <v>Güvenli</v>
      </c>
      <c r="M4" s="3">
        <f t="shared" si="3"/>
        <v>8000</v>
      </c>
      <c r="P4" s="8"/>
      <c r="S4" s="2" t="s">
        <v>14</v>
      </c>
      <c r="T4" s="2" t="s">
        <v>16</v>
      </c>
    </row>
    <row r="5" spans="1:26">
      <c r="A5" s="1" t="s">
        <v>17</v>
      </c>
      <c r="B5" s="6">
        <v>46085</v>
      </c>
      <c r="C5" s="1" t="s">
        <v>4</v>
      </c>
      <c r="D5" s="1" t="s">
        <v>5</v>
      </c>
      <c r="E5" s="1">
        <v>450</v>
      </c>
      <c r="F5" s="1">
        <v>12</v>
      </c>
      <c r="G5" s="1">
        <v>7</v>
      </c>
      <c r="H5" s="1" t="s">
        <v>11</v>
      </c>
      <c r="I5" s="1">
        <v>60</v>
      </c>
      <c r="J5" s="4" t="str">
        <f t="shared" si="0"/>
        <v>Metal</v>
      </c>
      <c r="K5" s="2" t="str">
        <f t="shared" si="1"/>
        <v>C Sınıfı</v>
      </c>
      <c r="L5" s="7" t="str">
        <f t="shared" si="2"/>
        <v>Güvenli</v>
      </c>
      <c r="M5" s="3">
        <f t="shared" si="3"/>
        <v>5400</v>
      </c>
      <c r="P5" s="8"/>
      <c r="S5" s="2" t="s">
        <v>18</v>
      </c>
      <c r="T5" s="2" t="s">
        <v>19</v>
      </c>
    </row>
    <row r="6" spans="1:26">
      <c r="A6" s="1" t="s">
        <v>20</v>
      </c>
      <c r="B6" s="6">
        <v>46086</v>
      </c>
      <c r="C6" s="1" t="s">
        <v>18</v>
      </c>
      <c r="D6" s="1" t="s">
        <v>21</v>
      </c>
      <c r="E6" s="1">
        <v>150</v>
      </c>
      <c r="F6" s="1">
        <v>120</v>
      </c>
      <c r="G6" s="1">
        <v>15</v>
      </c>
      <c r="H6" s="1" t="s">
        <v>11</v>
      </c>
      <c r="I6" s="1">
        <v>45</v>
      </c>
      <c r="J6" s="4" t="str">
        <f t="shared" si="0"/>
        <v>Elektronik</v>
      </c>
      <c r="K6" s="2" t="str">
        <f t="shared" si="1"/>
        <v>D Sınıfı</v>
      </c>
      <c r="L6" s="7" t="str">
        <f t="shared" si="2"/>
        <v>⚠️ RİSKLİ</v>
      </c>
      <c r="M6" s="3">
        <f t="shared" si="3"/>
        <v>18000</v>
      </c>
      <c r="P6" s="8"/>
      <c r="S6" s="2" t="s">
        <v>22</v>
      </c>
      <c r="T6" s="2" t="s">
        <v>23</v>
      </c>
    </row>
    <row r="7" spans="1:26">
      <c r="A7" s="1" t="s">
        <v>24</v>
      </c>
      <c r="B7" s="6">
        <v>46087</v>
      </c>
      <c r="C7" s="1" t="s">
        <v>9</v>
      </c>
      <c r="D7" s="1" t="s">
        <v>10</v>
      </c>
      <c r="E7" s="1">
        <v>300</v>
      </c>
      <c r="F7" s="1">
        <v>45</v>
      </c>
      <c r="G7" s="1">
        <v>10</v>
      </c>
      <c r="H7" s="1" t="s">
        <v>6</v>
      </c>
      <c r="I7" s="1">
        <v>88</v>
      </c>
      <c r="J7" s="4" t="str">
        <f t="shared" si="0"/>
        <v>Plastik</v>
      </c>
      <c r="K7" s="2" t="str">
        <f t="shared" si="1"/>
        <v>B Sınıfı</v>
      </c>
      <c r="L7" s="7" t="str">
        <f t="shared" si="2"/>
        <v>Güvenli</v>
      </c>
      <c r="M7" s="3">
        <f t="shared" si="3"/>
        <v>13500</v>
      </c>
      <c r="P7" s="8"/>
    </row>
    <row r="8" spans="1:26">
      <c r="A8" s="1" t="s">
        <v>25</v>
      </c>
      <c r="B8" s="6">
        <v>46088</v>
      </c>
      <c r="C8" s="1" t="s">
        <v>14</v>
      </c>
      <c r="D8" s="1" t="s">
        <v>15</v>
      </c>
      <c r="E8" s="1">
        <v>1200</v>
      </c>
      <c r="F8" s="1">
        <v>8</v>
      </c>
      <c r="G8" s="1">
        <v>4</v>
      </c>
      <c r="H8" s="1" t="s">
        <v>6</v>
      </c>
      <c r="I8" s="1">
        <v>92</v>
      </c>
      <c r="J8" s="4" t="str">
        <f t="shared" si="0"/>
        <v>Hammadde</v>
      </c>
      <c r="K8" s="2" t="str">
        <f t="shared" si="1"/>
        <v>A Sınıfı</v>
      </c>
      <c r="L8" s="7" t="str">
        <f t="shared" si="2"/>
        <v>Güvenli</v>
      </c>
      <c r="M8" s="3">
        <f t="shared" si="3"/>
        <v>9600</v>
      </c>
      <c r="P8" s="8"/>
    </row>
    <row r="9" spans="1:26">
      <c r="A9" s="1" t="s">
        <v>26</v>
      </c>
      <c r="B9" s="6">
        <v>46089</v>
      </c>
      <c r="C9" s="1" t="s">
        <v>4</v>
      </c>
      <c r="D9" s="1" t="s">
        <v>5</v>
      </c>
      <c r="E9" s="1">
        <v>600</v>
      </c>
      <c r="F9" s="1">
        <v>12</v>
      </c>
      <c r="G9" s="1">
        <v>4</v>
      </c>
      <c r="H9" s="1" t="s">
        <v>6</v>
      </c>
      <c r="I9" s="1">
        <v>98</v>
      </c>
      <c r="J9" s="4" t="str">
        <f t="shared" si="0"/>
        <v>Metal</v>
      </c>
      <c r="K9" s="2" t="str">
        <f t="shared" si="1"/>
        <v>A Sınıfı</v>
      </c>
      <c r="L9" s="7" t="str">
        <f t="shared" si="2"/>
        <v>Güvenli</v>
      </c>
      <c r="M9" s="3">
        <f t="shared" si="3"/>
        <v>7200</v>
      </c>
      <c r="P9" s="8"/>
    </row>
    <row r="10" spans="1:26">
      <c r="A10" s="1" t="s">
        <v>27</v>
      </c>
      <c r="B10" s="6">
        <v>46090</v>
      </c>
      <c r="C10" s="1" t="s">
        <v>22</v>
      </c>
      <c r="D10" s="1" t="s">
        <v>28</v>
      </c>
      <c r="E10" s="1">
        <v>50</v>
      </c>
      <c r="F10" s="1">
        <v>300</v>
      </c>
      <c r="G10" s="1">
        <v>20</v>
      </c>
      <c r="H10" s="1" t="s">
        <v>11</v>
      </c>
      <c r="I10" s="1">
        <v>30</v>
      </c>
      <c r="J10" s="4" t="str">
        <f t="shared" si="0"/>
        <v>Kimyasal</v>
      </c>
      <c r="K10" s="2" t="str">
        <f t="shared" si="1"/>
        <v>D Sınıfı</v>
      </c>
      <c r="L10" s="7" t="str">
        <f t="shared" si="2"/>
        <v>⚠️ RİSKLİ</v>
      </c>
      <c r="M10" s="3">
        <f t="shared" si="3"/>
        <v>15000</v>
      </c>
      <c r="P10" s="8"/>
    </row>
    <row r="11" spans="1:26">
      <c r="A11" s="1" t="s">
        <v>29</v>
      </c>
      <c r="B11" s="6">
        <v>46091</v>
      </c>
      <c r="C11" s="1" t="s">
        <v>18</v>
      </c>
      <c r="D11" s="1" t="s">
        <v>21</v>
      </c>
      <c r="E11" s="1">
        <v>200</v>
      </c>
      <c r="F11" s="1">
        <v>120</v>
      </c>
      <c r="G11" s="1">
        <v>12</v>
      </c>
      <c r="H11" s="1" t="s">
        <v>6</v>
      </c>
      <c r="I11" s="1">
        <v>85</v>
      </c>
      <c r="J11" s="4" t="str">
        <f t="shared" si="0"/>
        <v>Elektronik</v>
      </c>
      <c r="K11" s="2" t="str">
        <f t="shared" si="1"/>
        <v>B Sınıfı</v>
      </c>
      <c r="L11" s="7" t="str">
        <f t="shared" si="2"/>
        <v>Güvenli</v>
      </c>
      <c r="M11" s="3">
        <f t="shared" si="3"/>
        <v>24000</v>
      </c>
      <c r="P11" s="8"/>
    </row>
    <row r="12" spans="1:26">
      <c r="A12" s="1" t="s">
        <v>30</v>
      </c>
      <c r="B12" s="6">
        <v>46092</v>
      </c>
      <c r="C12" s="1" t="s">
        <v>9</v>
      </c>
      <c r="D12" s="1" t="s">
        <v>10</v>
      </c>
      <c r="E12" s="1">
        <v>250</v>
      </c>
      <c r="F12" s="1">
        <v>45</v>
      </c>
      <c r="G12" s="1">
        <v>14</v>
      </c>
      <c r="H12" s="1" t="s">
        <v>11</v>
      </c>
      <c r="I12" s="1">
        <v>70</v>
      </c>
      <c r="J12" s="4" t="str">
        <f t="shared" si="0"/>
        <v>Plastik</v>
      </c>
      <c r="K12" s="2" t="str">
        <f t="shared" si="1"/>
        <v>C Sınıfı</v>
      </c>
      <c r="L12" s="7" t="str">
        <f t="shared" si="2"/>
        <v>Güvenli</v>
      </c>
      <c r="M12" s="3">
        <f t="shared" si="3"/>
        <v>11250</v>
      </c>
      <c r="P12" s="8"/>
    </row>
    <row r="13" spans="1:26">
      <c r="A13" s="1" t="s">
        <v>31</v>
      </c>
      <c r="B13" s="6">
        <v>46093</v>
      </c>
      <c r="C13" s="1" t="s">
        <v>14</v>
      </c>
      <c r="D13" s="1" t="s">
        <v>15</v>
      </c>
      <c r="E13" s="1">
        <v>900</v>
      </c>
      <c r="F13" s="1">
        <v>8</v>
      </c>
      <c r="G13" s="1">
        <v>2</v>
      </c>
      <c r="H13" s="1" t="s">
        <v>6</v>
      </c>
      <c r="I13" s="1">
        <v>100</v>
      </c>
      <c r="J13" s="4" t="str">
        <f t="shared" si="0"/>
        <v>Hammadde</v>
      </c>
      <c r="K13" s="2" t="str">
        <f t="shared" si="1"/>
        <v>A Sınıfı</v>
      </c>
      <c r="L13" s="7" t="str">
        <f t="shared" si="2"/>
        <v>Güvenli</v>
      </c>
      <c r="M13" s="3">
        <f t="shared" si="3"/>
        <v>7200</v>
      </c>
      <c r="P13" s="8"/>
    </row>
    <row r="14" spans="1:26">
      <c r="A14" s="1" t="s">
        <v>32</v>
      </c>
      <c r="B14" s="6">
        <v>46094</v>
      </c>
      <c r="C14" s="1" t="s">
        <v>4</v>
      </c>
      <c r="D14" s="1" t="s">
        <v>5</v>
      </c>
      <c r="E14" s="1">
        <v>550</v>
      </c>
      <c r="F14" s="1">
        <v>12</v>
      </c>
      <c r="G14" s="1">
        <v>6</v>
      </c>
      <c r="H14" s="1" t="s">
        <v>11</v>
      </c>
      <c r="I14" s="1">
        <v>75</v>
      </c>
      <c r="J14" s="4" t="str">
        <f t="shared" si="0"/>
        <v>Metal</v>
      </c>
      <c r="K14" s="2" t="str">
        <f t="shared" si="1"/>
        <v>B Sınıfı</v>
      </c>
      <c r="L14" s="7" t="str">
        <f t="shared" si="2"/>
        <v>Güvenli</v>
      </c>
      <c r="M14" s="3">
        <f t="shared" si="3"/>
        <v>6600</v>
      </c>
      <c r="P14" s="8"/>
    </row>
    <row r="15" spans="1:26">
      <c r="A15" s="1" t="s">
        <v>33</v>
      </c>
      <c r="B15" s="6">
        <v>46095</v>
      </c>
      <c r="C15" s="1" t="s">
        <v>22</v>
      </c>
      <c r="D15" s="1" t="s">
        <v>28</v>
      </c>
      <c r="E15" s="1">
        <v>80</v>
      </c>
      <c r="F15" s="1">
        <v>300</v>
      </c>
      <c r="G15" s="1">
        <v>18</v>
      </c>
      <c r="H15" s="1" t="s">
        <v>11</v>
      </c>
      <c r="I15" s="1">
        <v>50</v>
      </c>
      <c r="J15" s="4" t="str">
        <f t="shared" si="0"/>
        <v>Kimyasal</v>
      </c>
      <c r="K15" s="2" t="str">
        <f t="shared" si="1"/>
        <v>C Sınıfı</v>
      </c>
      <c r="L15" s="7" t="str">
        <f t="shared" si="2"/>
        <v>⚠️ RİSKLİ</v>
      </c>
      <c r="M15" s="3">
        <f t="shared" si="3"/>
        <v>24000</v>
      </c>
      <c r="P15" s="8"/>
    </row>
    <row r="16" spans="1:26">
      <c r="A16" s="1" t="s">
        <v>34</v>
      </c>
      <c r="B16" s="6">
        <v>46096</v>
      </c>
      <c r="C16" s="1" t="s">
        <v>9</v>
      </c>
      <c r="D16" s="1" t="s">
        <v>10</v>
      </c>
      <c r="E16" s="1">
        <v>350</v>
      </c>
      <c r="F16" s="1">
        <v>45</v>
      </c>
      <c r="G16" s="1">
        <v>9</v>
      </c>
      <c r="H16" s="1" t="s">
        <v>6</v>
      </c>
      <c r="I16" s="1">
        <v>90</v>
      </c>
      <c r="J16" s="4" t="str">
        <f t="shared" si="0"/>
        <v>Plastik</v>
      </c>
      <c r="K16" s="2" t="str">
        <f t="shared" si="1"/>
        <v>A Sınıfı</v>
      </c>
      <c r="L16" s="7" t="str">
        <f t="shared" si="2"/>
        <v>Güvenli</v>
      </c>
      <c r="M16" s="3">
        <f t="shared" si="3"/>
        <v>15750</v>
      </c>
      <c r="P16" s="8"/>
    </row>
    <row r="17" spans="1:16">
      <c r="A17" s="1" t="s">
        <v>35</v>
      </c>
      <c r="B17" s="6">
        <v>46097</v>
      </c>
      <c r="C17" s="1" t="s">
        <v>14</v>
      </c>
      <c r="D17" s="1" t="s">
        <v>15</v>
      </c>
      <c r="E17" s="1">
        <v>1100</v>
      </c>
      <c r="F17" s="1">
        <v>8</v>
      </c>
      <c r="G17" s="1">
        <v>5</v>
      </c>
      <c r="H17" s="1" t="s">
        <v>6</v>
      </c>
      <c r="I17" s="1">
        <v>94</v>
      </c>
      <c r="J17" s="4" t="str">
        <f t="shared" si="0"/>
        <v>Hammadde</v>
      </c>
      <c r="K17" s="2" t="str">
        <f t="shared" si="1"/>
        <v>A Sınıfı</v>
      </c>
      <c r="L17" s="7" t="str">
        <f t="shared" si="2"/>
        <v>Güvenli</v>
      </c>
      <c r="M17" s="3">
        <f t="shared" si="3"/>
        <v>8800</v>
      </c>
      <c r="P17" s="8"/>
    </row>
    <row r="18" spans="1:16">
      <c r="A18" s="1" t="s">
        <v>36</v>
      </c>
      <c r="B18" s="6">
        <v>46098</v>
      </c>
      <c r="C18" s="1" t="s">
        <v>4</v>
      </c>
      <c r="D18" s="1" t="s">
        <v>5</v>
      </c>
      <c r="E18" s="1">
        <v>480</v>
      </c>
      <c r="F18" s="1">
        <v>12</v>
      </c>
      <c r="G18" s="1">
        <v>3</v>
      </c>
      <c r="H18" s="1" t="s">
        <v>6</v>
      </c>
      <c r="I18" s="1">
        <v>99</v>
      </c>
      <c r="J18" s="4" t="str">
        <f t="shared" si="0"/>
        <v>Metal</v>
      </c>
      <c r="K18" s="2" t="str">
        <f t="shared" si="1"/>
        <v>A Sınıfı</v>
      </c>
      <c r="L18" s="7" t="str">
        <f t="shared" si="2"/>
        <v>Güvenli</v>
      </c>
      <c r="M18" s="3">
        <f t="shared" si="3"/>
        <v>5760</v>
      </c>
      <c r="P18" s="8"/>
    </row>
    <row r="19" spans="1:16">
      <c r="A19" s="1" t="s">
        <v>37</v>
      </c>
      <c r="B19" s="6">
        <v>46099</v>
      </c>
      <c r="C19" s="1" t="s">
        <v>18</v>
      </c>
      <c r="D19" s="1" t="s">
        <v>21</v>
      </c>
      <c r="E19" s="1">
        <v>180</v>
      </c>
      <c r="F19" s="1">
        <v>120</v>
      </c>
      <c r="G19" s="1">
        <v>14</v>
      </c>
      <c r="H19" s="1" t="s">
        <v>11</v>
      </c>
      <c r="I19" s="1">
        <v>65</v>
      </c>
      <c r="J19" s="4" t="str">
        <f t="shared" si="0"/>
        <v>Elektronik</v>
      </c>
      <c r="K19" s="2" t="str">
        <f t="shared" si="1"/>
        <v>C Sınıfı</v>
      </c>
      <c r="L19" s="7" t="str">
        <f t="shared" si="2"/>
        <v>⚠️ RİSKLİ</v>
      </c>
      <c r="M19" s="3">
        <f t="shared" si="3"/>
        <v>21600</v>
      </c>
      <c r="P19" s="8"/>
    </row>
    <row r="20" spans="1:16">
      <c r="A20" s="1" t="s">
        <v>38</v>
      </c>
      <c r="B20" s="6">
        <v>46100</v>
      </c>
      <c r="C20" s="1" t="s">
        <v>9</v>
      </c>
      <c r="D20" s="1" t="s">
        <v>10</v>
      </c>
      <c r="E20" s="1">
        <v>220</v>
      </c>
      <c r="F20" s="1">
        <v>45</v>
      </c>
      <c r="G20" s="1">
        <v>11</v>
      </c>
      <c r="H20" s="1" t="s">
        <v>6</v>
      </c>
      <c r="I20" s="1">
        <v>82</v>
      </c>
      <c r="J20" s="4" t="str">
        <f t="shared" si="0"/>
        <v>Plastik</v>
      </c>
      <c r="K20" s="2" t="str">
        <f t="shared" si="1"/>
        <v>B Sınıfı</v>
      </c>
      <c r="L20" s="7" t="str">
        <f t="shared" si="2"/>
        <v>Güvenli</v>
      </c>
      <c r="M20" s="3">
        <f t="shared" si="3"/>
        <v>9900</v>
      </c>
      <c r="P20" s="8"/>
    </row>
    <row r="21" spans="1:16">
      <c r="A21" s="1" t="s">
        <v>39</v>
      </c>
      <c r="B21" s="6">
        <v>46101</v>
      </c>
      <c r="C21" s="1" t="s">
        <v>22</v>
      </c>
      <c r="D21" s="1" t="s">
        <v>28</v>
      </c>
      <c r="E21" s="1">
        <v>60</v>
      </c>
      <c r="F21" s="1">
        <v>300</v>
      </c>
      <c r="G21" s="1">
        <v>25</v>
      </c>
      <c r="H21" s="1" t="s">
        <v>40</v>
      </c>
      <c r="I21" s="1">
        <v>20</v>
      </c>
      <c r="J21" s="4" t="str">
        <f t="shared" si="0"/>
        <v>Kimyasal</v>
      </c>
      <c r="K21" s="2" t="str">
        <f t="shared" si="1"/>
        <v>D Sınıfı</v>
      </c>
      <c r="L21" s="7" t="str">
        <f t="shared" si="2"/>
        <v>⚠️ RİSKLİ</v>
      </c>
      <c r="M21" s="3">
        <f t="shared" si="3"/>
        <v>18000</v>
      </c>
      <c r="P21" s="8"/>
    </row>
    <row r="22" spans="1:16">
      <c r="A22" s="1" t="s">
        <v>41</v>
      </c>
      <c r="B22" s="6">
        <v>46102</v>
      </c>
      <c r="C22" s="1" t="s">
        <v>14</v>
      </c>
      <c r="D22" s="1" t="s">
        <v>15</v>
      </c>
      <c r="E22" s="1">
        <v>1000</v>
      </c>
      <c r="F22" s="1">
        <v>8</v>
      </c>
      <c r="G22" s="1">
        <v>4</v>
      </c>
      <c r="H22" s="1" t="s">
        <v>6</v>
      </c>
      <c r="I22" s="1">
        <v>96</v>
      </c>
      <c r="J22" s="4" t="str">
        <f t="shared" si="0"/>
        <v>Hammadde</v>
      </c>
      <c r="K22" s="2" t="str">
        <f t="shared" si="1"/>
        <v>A Sınıfı</v>
      </c>
      <c r="L22" s="7" t="str">
        <f t="shared" si="2"/>
        <v>Güvenli</v>
      </c>
      <c r="M22" s="3">
        <f t="shared" si="3"/>
        <v>8000</v>
      </c>
      <c r="P22" s="8"/>
    </row>
    <row r="23" spans="1:16">
      <c r="A23" s="1" t="s">
        <v>42</v>
      </c>
      <c r="B23" s="6">
        <v>46103</v>
      </c>
      <c r="C23" s="1" t="s">
        <v>4</v>
      </c>
      <c r="D23" s="1" t="s">
        <v>5</v>
      </c>
      <c r="E23" s="1">
        <v>520</v>
      </c>
      <c r="F23" s="1">
        <v>12</v>
      </c>
      <c r="G23" s="1">
        <v>5</v>
      </c>
      <c r="H23" s="1" t="s">
        <v>6</v>
      </c>
      <c r="I23" s="1">
        <v>93</v>
      </c>
      <c r="J23" s="4" t="str">
        <f t="shared" si="0"/>
        <v>Metal</v>
      </c>
      <c r="K23" s="2" t="str">
        <f t="shared" si="1"/>
        <v>A Sınıfı</v>
      </c>
      <c r="L23" s="7" t="str">
        <f t="shared" si="2"/>
        <v>Güvenli</v>
      </c>
      <c r="M23" s="3">
        <f t="shared" si="3"/>
        <v>6240</v>
      </c>
      <c r="P23" s="8"/>
    </row>
    <row r="24" spans="1:16">
      <c r="A24" s="1" t="s">
        <v>43</v>
      </c>
      <c r="B24" s="6">
        <v>46104</v>
      </c>
      <c r="C24" s="1" t="s">
        <v>18</v>
      </c>
      <c r="D24" s="1" t="s">
        <v>21</v>
      </c>
      <c r="E24" s="1">
        <v>140</v>
      </c>
      <c r="F24" s="1">
        <v>120</v>
      </c>
      <c r="G24" s="1">
        <v>16</v>
      </c>
      <c r="H24" s="1" t="s">
        <v>40</v>
      </c>
      <c r="I24" s="1">
        <v>40</v>
      </c>
      <c r="J24" s="4" t="str">
        <f t="shared" si="0"/>
        <v>Elektronik</v>
      </c>
      <c r="K24" s="2" t="str">
        <f t="shared" si="1"/>
        <v>D Sınıfı</v>
      </c>
      <c r="L24" s="7" t="str">
        <f t="shared" si="2"/>
        <v>⚠️ RİSKLİ</v>
      </c>
      <c r="M24" s="3">
        <f t="shared" si="3"/>
        <v>16800</v>
      </c>
      <c r="P24" s="8"/>
    </row>
    <row r="25" spans="1:16">
      <c r="A25" s="1" t="s">
        <v>44</v>
      </c>
      <c r="B25" s="6">
        <v>46105</v>
      </c>
      <c r="C25" s="1" t="s">
        <v>9</v>
      </c>
      <c r="D25" s="1" t="s">
        <v>10</v>
      </c>
      <c r="E25" s="1">
        <v>280</v>
      </c>
      <c r="F25" s="1">
        <v>45</v>
      </c>
      <c r="G25" s="1">
        <v>8</v>
      </c>
      <c r="H25" s="1" t="s">
        <v>6</v>
      </c>
      <c r="I25" s="1">
        <v>89</v>
      </c>
      <c r="J25" s="4" t="str">
        <f t="shared" si="0"/>
        <v>Plastik</v>
      </c>
      <c r="K25" s="2" t="str">
        <f t="shared" si="1"/>
        <v>B Sınıfı</v>
      </c>
      <c r="L25" s="7" t="str">
        <f t="shared" si="2"/>
        <v>Güvenli</v>
      </c>
      <c r="M25" s="3">
        <f t="shared" si="3"/>
        <v>12600</v>
      </c>
      <c r="P25" s="8"/>
    </row>
    <row r="26" spans="1:16">
      <c r="A26" s="1" t="s">
        <v>45</v>
      </c>
      <c r="B26" s="6">
        <v>46106</v>
      </c>
      <c r="C26" s="1" t="s">
        <v>22</v>
      </c>
      <c r="D26" s="1" t="s">
        <v>28</v>
      </c>
      <c r="E26" s="1">
        <v>40</v>
      </c>
      <c r="F26" s="1">
        <v>300</v>
      </c>
      <c r="G26" s="1">
        <v>22</v>
      </c>
      <c r="H26" s="1" t="s">
        <v>40</v>
      </c>
      <c r="I26" s="1">
        <v>15</v>
      </c>
      <c r="J26" s="4" t="str">
        <f t="shared" si="0"/>
        <v>Kimyasal</v>
      </c>
      <c r="K26" s="2" t="str">
        <f t="shared" si="1"/>
        <v>D Sınıfı</v>
      </c>
      <c r="L26" s="7" t="str">
        <f t="shared" si="2"/>
        <v>⚠️ RİSKLİ</v>
      </c>
      <c r="M26" s="3">
        <f t="shared" si="3"/>
        <v>12000</v>
      </c>
      <c r="P26" s="8"/>
    </row>
    <row r="27" spans="1:16">
      <c r="M27" s="8"/>
      <c r="P27" s="8"/>
    </row>
    <row r="28" spans="1:16">
      <c r="M28" s="8"/>
      <c r="P28" s="8"/>
    </row>
    <row r="29" spans="1:16">
      <c r="M29" s="8"/>
      <c r="P29" s="8"/>
    </row>
    <row r="30" spans="1:16">
      <c r="M30" s="8"/>
      <c r="P30" s="8"/>
    </row>
    <row r="31" spans="1:16">
      <c r="M31" s="8"/>
      <c r="P31" s="8"/>
    </row>
    <row r="32" spans="1:16">
      <c r="M32" s="8"/>
      <c r="P32" s="8"/>
    </row>
    <row r="33" spans="13:16">
      <c r="M33" s="8"/>
      <c r="P33" s="8"/>
    </row>
    <row r="34" spans="13:16">
      <c r="M34" s="8"/>
      <c r="P34" s="8"/>
    </row>
    <row r="35" spans="13:16">
      <c r="M35" s="8"/>
      <c r="P35" s="8"/>
    </row>
    <row r="36" spans="13:16">
      <c r="M36" s="8"/>
      <c r="P36" s="8"/>
    </row>
    <row r="37" spans="13:16">
      <c r="M37" s="8"/>
      <c r="P37" s="8"/>
    </row>
    <row r="38" spans="13:16">
      <c r="M38" s="8"/>
      <c r="P38" s="8"/>
    </row>
    <row r="39" spans="13:16">
      <c r="M39" s="8"/>
      <c r="P39" s="8"/>
    </row>
    <row r="40" spans="13:16">
      <c r="M40" s="8"/>
      <c r="P40" s="8"/>
    </row>
    <row r="41" spans="13:16">
      <c r="M41" s="8"/>
      <c r="P41" s="8"/>
    </row>
    <row r="42" spans="13:16">
      <c r="M42" s="8"/>
      <c r="P42" s="8"/>
    </row>
    <row r="43" spans="13:16">
      <c r="M43" s="8"/>
      <c r="P43" s="8"/>
    </row>
    <row r="44" spans="13:16">
      <c r="M44" s="8"/>
      <c r="P44" s="8"/>
    </row>
    <row r="45" spans="13:16">
      <c r="M45" s="8"/>
      <c r="P45" s="8"/>
    </row>
    <row r="46" spans="13:16">
      <c r="M46" s="8"/>
      <c r="P46" s="8"/>
    </row>
    <row r="47" spans="13:16">
      <c r="M47" s="8"/>
      <c r="P47" s="8"/>
    </row>
    <row r="48" spans="13:16">
      <c r="M48" s="8"/>
      <c r="P48" s="8"/>
    </row>
    <row r="49" spans="13:16">
      <c r="M49" s="8"/>
      <c r="P49" s="8"/>
    </row>
    <row r="50" spans="13:16">
      <c r="M50" s="8"/>
      <c r="P50" s="8"/>
    </row>
    <row r="51" spans="13:16">
      <c r="M51" s="8"/>
      <c r="P51" s="8"/>
    </row>
    <row r="52" spans="13:16">
      <c r="M52" s="8"/>
      <c r="P52" s="8"/>
    </row>
    <row r="53" spans="13:16">
      <c r="M53" s="8"/>
      <c r="P53" s="8"/>
    </row>
    <row r="54" spans="13:16">
      <c r="M54" s="8"/>
      <c r="P54" s="8"/>
    </row>
    <row r="55" spans="13:16">
      <c r="M55" s="8"/>
      <c r="P55" s="8"/>
    </row>
    <row r="56" spans="13:16">
      <c r="M56" s="8"/>
      <c r="P56" s="8"/>
    </row>
    <row r="57" spans="13:16">
      <c r="M57" s="8"/>
      <c r="P57" s="8"/>
    </row>
    <row r="58" spans="13:16">
      <c r="M58" s="8"/>
      <c r="P58" s="8"/>
    </row>
    <row r="59" spans="13:16">
      <c r="M59" s="8"/>
      <c r="P59" s="8"/>
    </row>
    <row r="60" spans="13:16">
      <c r="M60" s="8"/>
      <c r="P60" s="8"/>
    </row>
    <row r="61" spans="13:16">
      <c r="M61" s="8"/>
      <c r="P61" s="8"/>
    </row>
    <row r="62" spans="13:16">
      <c r="M62" s="8"/>
      <c r="P62" s="8"/>
    </row>
    <row r="63" spans="13:16">
      <c r="M63" s="8"/>
      <c r="P63" s="8"/>
    </row>
    <row r="64" spans="13:16">
      <c r="M64" s="8"/>
      <c r="P64" s="8"/>
    </row>
    <row r="65" spans="13:16">
      <c r="M65" s="8"/>
      <c r="P65" s="8"/>
    </row>
    <row r="66" spans="13:16">
      <c r="M66" s="8"/>
      <c r="P66" s="8"/>
    </row>
    <row r="67" spans="13:16">
      <c r="M67" s="8"/>
      <c r="P67" s="8"/>
    </row>
    <row r="68" spans="13:16">
      <c r="M68" s="8"/>
      <c r="P68" s="8"/>
    </row>
    <row r="69" spans="13:16">
      <c r="M69" s="8"/>
      <c r="P69" s="8"/>
    </row>
    <row r="70" spans="13:16">
      <c r="M70" s="8"/>
      <c r="P70" s="8"/>
    </row>
    <row r="71" spans="13:16">
      <c r="M71" s="8"/>
      <c r="P71" s="8"/>
    </row>
    <row r="72" spans="13:16">
      <c r="M72" s="8"/>
      <c r="P72" s="8"/>
    </row>
    <row r="73" spans="13:16">
      <c r="M73" s="8"/>
      <c r="P73" s="8"/>
    </row>
    <row r="74" spans="13:16">
      <c r="M74" s="8"/>
      <c r="P74" s="8"/>
    </row>
    <row r="75" spans="13:16">
      <c r="M75" s="8"/>
      <c r="P75" s="8"/>
    </row>
    <row r="76" spans="13:16">
      <c r="M76" s="8"/>
      <c r="P76" s="8"/>
    </row>
    <row r="77" spans="13:16">
      <c r="M77" s="8"/>
      <c r="P77" s="8"/>
    </row>
    <row r="78" spans="13:16">
      <c r="M78" s="8"/>
      <c r="P78" s="8"/>
    </row>
    <row r="79" spans="13:16">
      <c r="M79" s="8"/>
      <c r="P79" s="8"/>
    </row>
    <row r="80" spans="13:16">
      <c r="M80" s="8"/>
      <c r="P80" s="8"/>
    </row>
    <row r="81" spans="13:16">
      <c r="M81" s="8"/>
      <c r="P81" s="8"/>
    </row>
    <row r="82" spans="13:16">
      <c r="M82" s="8"/>
      <c r="P82" s="8"/>
    </row>
    <row r="83" spans="13:16">
      <c r="M83" s="8"/>
      <c r="P83" s="8"/>
    </row>
    <row r="84" spans="13:16">
      <c r="M84" s="8"/>
      <c r="P84" s="8"/>
    </row>
    <row r="85" spans="13:16">
      <c r="M85" s="8"/>
      <c r="P85" s="8"/>
    </row>
    <row r="86" spans="13:16">
      <c r="M86" s="8"/>
      <c r="P86" s="8"/>
    </row>
    <row r="87" spans="13:16">
      <c r="M87" s="8"/>
      <c r="P87" s="8"/>
    </row>
    <row r="88" spans="13:16">
      <c r="M88" s="8"/>
      <c r="P88" s="8"/>
    </row>
    <row r="89" spans="13:16">
      <c r="M89" s="8"/>
      <c r="P89" s="8"/>
    </row>
    <row r="90" spans="13:16">
      <c r="M90" s="8"/>
      <c r="P90" s="8"/>
    </row>
    <row r="91" spans="13:16">
      <c r="M91" s="8"/>
      <c r="P91" s="8"/>
    </row>
    <row r="92" spans="13:16">
      <c r="M92" s="8"/>
      <c r="P92" s="8"/>
    </row>
    <row r="93" spans="13:16">
      <c r="M93" s="8"/>
      <c r="P93" s="8"/>
    </row>
    <row r="94" spans="13:16">
      <c r="M94" s="8"/>
      <c r="P94" s="8"/>
    </row>
    <row r="95" spans="13:16">
      <c r="M95" s="8"/>
      <c r="P95" s="8"/>
    </row>
    <row r="96" spans="13:16">
      <c r="M96" s="8"/>
      <c r="P96" s="8"/>
    </row>
    <row r="97" spans="13:16">
      <c r="M97" s="8"/>
      <c r="P97" s="8"/>
    </row>
    <row r="98" spans="13:16">
      <c r="M98" s="8"/>
      <c r="P98" s="8"/>
    </row>
    <row r="99" spans="13:16">
      <c r="M99" s="8"/>
      <c r="P99" s="8"/>
    </row>
    <row r="100" spans="13:16">
      <c r="M100" s="8"/>
      <c r="P100" s="8"/>
    </row>
    <row r="101" spans="13:16">
      <c r="M101" s="8"/>
      <c r="P101" s="8"/>
    </row>
    <row r="102" spans="13:16">
      <c r="M102" s="8"/>
      <c r="P102" s="8"/>
    </row>
    <row r="103" spans="13:16">
      <c r="M103" s="8"/>
      <c r="P103" s="8"/>
    </row>
    <row r="104" spans="13:16">
      <c r="M104" s="8"/>
      <c r="P104" s="8"/>
    </row>
    <row r="105" spans="13:16">
      <c r="M105" s="8"/>
      <c r="P105" s="8"/>
    </row>
    <row r="106" spans="13:16">
      <c r="M106" s="8"/>
      <c r="P106" s="8"/>
    </row>
    <row r="107" spans="13:16">
      <c r="M107" s="8"/>
      <c r="P107" s="8"/>
    </row>
    <row r="108" spans="13:16">
      <c r="M108" s="8"/>
      <c r="P108" s="8"/>
    </row>
    <row r="109" spans="13:16">
      <c r="M109" s="8"/>
      <c r="P109" s="8"/>
    </row>
    <row r="110" spans="13:16">
      <c r="M110" s="8"/>
      <c r="P110" s="8"/>
    </row>
    <row r="111" spans="13:16">
      <c r="M111" s="8"/>
      <c r="P111" s="8"/>
    </row>
    <row r="112" spans="13:16">
      <c r="M112" s="8"/>
      <c r="P112" s="8"/>
    </row>
    <row r="113" spans="13:16">
      <c r="M113" s="8"/>
      <c r="P113" s="8"/>
    </row>
    <row r="114" spans="13:16">
      <c r="M114" s="8"/>
      <c r="P114" s="8"/>
    </row>
    <row r="115" spans="13:16">
      <c r="M115" s="8"/>
      <c r="P115" s="8"/>
    </row>
    <row r="116" spans="13:16">
      <c r="M116" s="8"/>
      <c r="P116" s="8"/>
    </row>
    <row r="117" spans="13:16">
      <c r="M117" s="8"/>
      <c r="P117" s="8"/>
    </row>
    <row r="118" spans="13:16">
      <c r="M118" s="8"/>
      <c r="P118" s="8"/>
    </row>
    <row r="119" spans="13:16">
      <c r="M119" s="8"/>
      <c r="P119" s="8"/>
    </row>
    <row r="120" spans="13:16">
      <c r="M120" s="8"/>
      <c r="P120" s="8"/>
    </row>
    <row r="121" spans="13:16">
      <c r="M121" s="8"/>
      <c r="P121" s="8"/>
    </row>
    <row r="122" spans="13:16">
      <c r="M122" s="8"/>
      <c r="P122" s="8"/>
    </row>
    <row r="123" spans="13:16">
      <c r="M123" s="8"/>
      <c r="P123" s="8"/>
    </row>
    <row r="124" spans="13:16">
      <c r="M124" s="8"/>
      <c r="P124" s="8"/>
    </row>
    <row r="125" spans="13:16">
      <c r="M125" s="8"/>
      <c r="P125" s="8"/>
    </row>
    <row r="126" spans="13:16">
      <c r="M126" s="8"/>
      <c r="P126" s="8"/>
    </row>
    <row r="127" spans="13:16">
      <c r="M127" s="8"/>
      <c r="P127" s="8"/>
    </row>
    <row r="128" spans="13:16">
      <c r="M128" s="8"/>
      <c r="P128" s="8"/>
    </row>
    <row r="129" spans="13:16">
      <c r="M129" s="8"/>
      <c r="P129" s="8"/>
    </row>
    <row r="130" spans="13:16">
      <c r="M130" s="8"/>
      <c r="P130" s="8"/>
    </row>
    <row r="131" spans="13:16">
      <c r="M131" s="8"/>
      <c r="P131" s="8"/>
    </row>
    <row r="132" spans="13:16">
      <c r="M132" s="8"/>
      <c r="P132" s="8"/>
    </row>
    <row r="133" spans="13:16">
      <c r="M133" s="8"/>
      <c r="P133" s="8"/>
    </row>
    <row r="134" spans="13:16">
      <c r="M134" s="8"/>
      <c r="P134" s="8"/>
    </row>
    <row r="135" spans="13:16">
      <c r="M135" s="8"/>
      <c r="P135" s="8"/>
    </row>
    <row r="136" spans="13:16">
      <c r="M136" s="8"/>
      <c r="P136" s="8"/>
    </row>
    <row r="137" spans="13:16">
      <c r="M137" s="8"/>
      <c r="P137" s="8"/>
    </row>
    <row r="138" spans="13:16">
      <c r="M138" s="8"/>
      <c r="P138" s="8"/>
    </row>
    <row r="139" spans="13:16">
      <c r="M139" s="8"/>
      <c r="P139" s="8"/>
    </row>
    <row r="140" spans="13:16">
      <c r="M140" s="8"/>
      <c r="P140" s="8"/>
    </row>
    <row r="141" spans="13:16">
      <c r="M141" s="8"/>
      <c r="P141" s="8"/>
    </row>
    <row r="142" spans="13:16">
      <c r="M142" s="8"/>
      <c r="P142" s="8"/>
    </row>
    <row r="143" spans="13:16">
      <c r="M143" s="8"/>
      <c r="P143" s="8"/>
    </row>
    <row r="144" spans="13:16">
      <c r="M144" s="8"/>
      <c r="P144" s="8"/>
    </row>
    <row r="145" spans="13:16">
      <c r="M145" s="8"/>
      <c r="P145" s="8"/>
    </row>
    <row r="146" spans="13:16">
      <c r="M146" s="8"/>
      <c r="P146" s="8"/>
    </row>
    <row r="147" spans="13:16">
      <c r="M147" s="8"/>
      <c r="P147" s="8"/>
    </row>
    <row r="148" spans="13:16">
      <c r="M148" s="8"/>
      <c r="P148" s="8"/>
    </row>
    <row r="149" spans="13:16">
      <c r="M149" s="8"/>
      <c r="P149" s="8"/>
    </row>
    <row r="150" spans="13:16">
      <c r="M150" s="8"/>
      <c r="P150" s="8"/>
    </row>
    <row r="151" spans="13:16">
      <c r="M151" s="8"/>
      <c r="P151" s="8"/>
    </row>
    <row r="152" spans="13:16">
      <c r="M152" s="8"/>
      <c r="P152" s="8"/>
    </row>
    <row r="153" spans="13:16">
      <c r="M153" s="8"/>
      <c r="P153" s="8"/>
    </row>
    <row r="154" spans="13:16">
      <c r="M154" s="8"/>
      <c r="P154" s="8"/>
    </row>
    <row r="155" spans="13:16">
      <c r="M155" s="8"/>
      <c r="P155" s="8"/>
    </row>
    <row r="156" spans="13:16">
      <c r="M156" s="8"/>
      <c r="P156" s="8"/>
    </row>
    <row r="157" spans="13:16">
      <c r="M157" s="8"/>
      <c r="P157" s="8"/>
    </row>
    <row r="158" spans="13:16">
      <c r="M158" s="8"/>
      <c r="P158" s="8"/>
    </row>
    <row r="159" spans="13:16">
      <c r="M159" s="8"/>
      <c r="P159" s="8"/>
    </row>
    <row r="160" spans="13:16">
      <c r="M160" s="8"/>
      <c r="P160" s="8"/>
    </row>
    <row r="161" spans="13:16">
      <c r="M161" s="8"/>
      <c r="P161" s="8"/>
    </row>
    <row r="162" spans="13:16">
      <c r="M162" s="8"/>
      <c r="P162" s="8"/>
    </row>
    <row r="163" spans="13:16">
      <c r="M163" s="8"/>
      <c r="P163" s="8"/>
    </row>
    <row r="164" spans="13:16">
      <c r="M164" s="8"/>
      <c r="P164" s="8"/>
    </row>
    <row r="165" spans="13:16">
      <c r="M165" s="8"/>
      <c r="P165" s="8"/>
    </row>
    <row r="166" spans="13:16">
      <c r="M166" s="8"/>
      <c r="P166" s="8"/>
    </row>
    <row r="167" spans="13:16">
      <c r="M167" s="8"/>
      <c r="P167" s="8"/>
    </row>
    <row r="168" spans="13:16">
      <c r="M168" s="8"/>
      <c r="P168" s="8"/>
    </row>
    <row r="169" spans="13:16">
      <c r="M169" s="8"/>
      <c r="P169" s="8"/>
    </row>
    <row r="170" spans="13:16">
      <c r="M170" s="8"/>
      <c r="P170" s="8"/>
    </row>
    <row r="171" spans="13:16">
      <c r="M171" s="8"/>
      <c r="P171" s="8"/>
    </row>
    <row r="172" spans="13:16">
      <c r="M172" s="8"/>
      <c r="P172" s="8"/>
    </row>
    <row r="173" spans="13:16">
      <c r="M173" s="8"/>
      <c r="P173" s="8"/>
    </row>
    <row r="174" spans="13:16">
      <c r="M174" s="8"/>
      <c r="P174" s="8"/>
    </row>
    <row r="175" spans="13:16">
      <c r="M175" s="8"/>
      <c r="P175" s="8"/>
    </row>
    <row r="176" spans="13:16">
      <c r="M176" s="8"/>
      <c r="P176" s="8"/>
    </row>
    <row r="177" spans="13:16">
      <c r="M177" s="8"/>
      <c r="P177" s="8"/>
    </row>
    <row r="178" spans="13:16">
      <c r="M178" s="8"/>
      <c r="P178" s="8"/>
    </row>
    <row r="179" spans="13:16">
      <c r="M179" s="8"/>
      <c r="P179" s="8"/>
    </row>
    <row r="180" spans="13:16">
      <c r="M180" s="8"/>
      <c r="P180" s="8"/>
    </row>
    <row r="181" spans="13:16">
      <c r="M181" s="8"/>
      <c r="P181" s="8"/>
    </row>
    <row r="182" spans="13:16">
      <c r="M182" s="8"/>
      <c r="P182" s="8"/>
    </row>
    <row r="183" spans="13:16">
      <c r="M183" s="8"/>
      <c r="P183" s="8"/>
    </row>
    <row r="184" spans="13:16">
      <c r="M184" s="8"/>
      <c r="P184" s="8"/>
    </row>
    <row r="185" spans="13:16">
      <c r="M185" s="8"/>
      <c r="P185" s="8"/>
    </row>
    <row r="186" spans="13:16">
      <c r="M186" s="8"/>
      <c r="P186" s="8"/>
    </row>
    <row r="187" spans="13:16">
      <c r="M187" s="8"/>
      <c r="P187" s="8"/>
    </row>
    <row r="188" spans="13:16">
      <c r="M188" s="8"/>
      <c r="P188" s="8"/>
    </row>
    <row r="189" spans="13:16">
      <c r="M189" s="8"/>
      <c r="P189" s="8"/>
    </row>
    <row r="190" spans="13:16">
      <c r="M190" s="8"/>
      <c r="P190" s="8"/>
    </row>
    <row r="191" spans="13:16">
      <c r="M191" s="8"/>
      <c r="P191" s="8"/>
    </row>
    <row r="192" spans="13:16">
      <c r="M192" s="8"/>
      <c r="P192" s="8"/>
    </row>
    <row r="193" spans="13:16">
      <c r="M193" s="8"/>
      <c r="P193" s="8"/>
    </row>
    <row r="194" spans="13:16">
      <c r="M194" s="8"/>
      <c r="P194" s="8"/>
    </row>
    <row r="195" spans="13:16">
      <c r="M195" s="8"/>
      <c r="P195" s="8"/>
    </row>
    <row r="196" spans="13:16">
      <c r="M196" s="8"/>
      <c r="P196" s="8"/>
    </row>
    <row r="197" spans="13:16">
      <c r="M197" s="8"/>
      <c r="P197" s="8"/>
    </row>
    <row r="198" spans="13:16">
      <c r="M198" s="8"/>
      <c r="P198" s="8"/>
    </row>
    <row r="199" spans="13:16">
      <c r="M199" s="8"/>
      <c r="P199" s="8"/>
    </row>
    <row r="200" spans="13:16">
      <c r="M200" s="8"/>
      <c r="P200" s="8"/>
    </row>
    <row r="201" spans="13:16">
      <c r="M201" s="8"/>
      <c r="P201" s="8"/>
    </row>
    <row r="202" spans="13:16">
      <c r="M202" s="8"/>
      <c r="P202" s="8"/>
    </row>
    <row r="203" spans="13:16">
      <c r="M203" s="8"/>
      <c r="P203" s="8"/>
    </row>
    <row r="204" spans="13:16">
      <c r="M204" s="8"/>
      <c r="P204" s="8"/>
    </row>
    <row r="205" spans="13:16">
      <c r="M205" s="8"/>
      <c r="P205" s="8"/>
    </row>
    <row r="206" spans="13:16">
      <c r="M206" s="8"/>
      <c r="P206" s="8"/>
    </row>
    <row r="207" spans="13:16">
      <c r="M207" s="8"/>
      <c r="P207" s="8"/>
    </row>
    <row r="208" spans="13:16">
      <c r="M208" s="8"/>
      <c r="P208" s="8"/>
    </row>
    <row r="209" spans="13:16">
      <c r="M209" s="8"/>
      <c r="P209" s="8"/>
    </row>
    <row r="210" spans="13:16">
      <c r="M210" s="8"/>
      <c r="P210" s="8"/>
    </row>
    <row r="211" spans="13:16">
      <c r="M211" s="8"/>
      <c r="P211" s="8"/>
    </row>
    <row r="212" spans="13:16">
      <c r="M212" s="8"/>
      <c r="P212" s="8"/>
    </row>
    <row r="213" spans="13:16">
      <c r="M213" s="8"/>
      <c r="P213" s="8"/>
    </row>
    <row r="214" spans="13:16">
      <c r="M214" s="8"/>
      <c r="P214" s="8"/>
    </row>
    <row r="215" spans="13:16">
      <c r="M215" s="8"/>
      <c r="P215" s="8"/>
    </row>
    <row r="216" spans="13:16">
      <c r="M216" s="8"/>
      <c r="P216" s="8"/>
    </row>
    <row r="217" spans="13:16">
      <c r="M217" s="8"/>
      <c r="P217" s="8"/>
    </row>
    <row r="218" spans="13:16">
      <c r="M218" s="8"/>
      <c r="P218" s="8"/>
    </row>
    <row r="219" spans="13:16">
      <c r="M219" s="8"/>
      <c r="P219" s="8"/>
    </row>
    <row r="220" spans="13:16">
      <c r="M220" s="8"/>
      <c r="P220" s="8"/>
    </row>
    <row r="221" spans="13:16">
      <c r="M221" s="8"/>
      <c r="P221" s="8"/>
    </row>
    <row r="222" spans="13:16">
      <c r="M222" s="8"/>
      <c r="P222" s="8"/>
    </row>
    <row r="223" spans="13:16">
      <c r="M223" s="8"/>
      <c r="P223" s="8"/>
    </row>
    <row r="224" spans="13:16">
      <c r="M224" s="8"/>
      <c r="P224" s="8"/>
    </row>
    <row r="225" spans="13:16">
      <c r="M225" s="8"/>
      <c r="P225" s="8"/>
    </row>
    <row r="226" spans="13:16">
      <c r="M226" s="8"/>
      <c r="P226" s="8"/>
    </row>
    <row r="227" spans="13:16">
      <c r="M227" s="8"/>
      <c r="P227" s="8"/>
    </row>
    <row r="228" spans="13:16">
      <c r="M228" s="8"/>
      <c r="P228" s="8"/>
    </row>
    <row r="229" spans="13:16">
      <c r="M229" s="8"/>
      <c r="P229" s="8"/>
    </row>
    <row r="230" spans="13:16">
      <c r="M230" s="8"/>
      <c r="P230" s="8"/>
    </row>
    <row r="231" spans="13:16">
      <c r="M231" s="8"/>
      <c r="P231" s="8"/>
    </row>
    <row r="232" spans="13:16">
      <c r="M232" s="8"/>
      <c r="P232" s="8"/>
    </row>
    <row r="233" spans="13:16">
      <c r="M233" s="8"/>
      <c r="P233" s="8"/>
    </row>
    <row r="234" spans="13:16">
      <c r="M234" s="8"/>
      <c r="P234" s="8"/>
    </row>
    <row r="235" spans="13:16">
      <c r="M235" s="8"/>
      <c r="P235" s="8"/>
    </row>
    <row r="236" spans="13:16">
      <c r="M236" s="8"/>
      <c r="P236" s="8"/>
    </row>
    <row r="237" spans="13:16">
      <c r="M237" s="8"/>
      <c r="P237" s="8"/>
    </row>
    <row r="238" spans="13:16">
      <c r="M238" s="8"/>
      <c r="P238" s="8"/>
    </row>
    <row r="239" spans="13:16">
      <c r="M239" s="8"/>
      <c r="P239" s="8"/>
    </row>
    <row r="240" spans="13:16">
      <c r="M240" s="8"/>
      <c r="P240" s="8"/>
    </row>
    <row r="241" spans="13:16">
      <c r="M241" s="8"/>
      <c r="P241" s="8"/>
    </row>
    <row r="242" spans="13:16">
      <c r="M242" s="8"/>
      <c r="P242" s="8"/>
    </row>
    <row r="243" spans="13:16">
      <c r="M243" s="8"/>
      <c r="P243" s="8"/>
    </row>
    <row r="244" spans="13:16">
      <c r="M244" s="8"/>
      <c r="P244" s="8"/>
    </row>
    <row r="245" spans="13:16">
      <c r="M245" s="8"/>
      <c r="P245" s="8"/>
    </row>
    <row r="246" spans="13:16">
      <c r="M246" s="8"/>
      <c r="P246" s="8"/>
    </row>
    <row r="247" spans="13:16">
      <c r="M247" s="8"/>
      <c r="P247" s="8"/>
    </row>
    <row r="248" spans="13:16">
      <c r="M248" s="8"/>
      <c r="P248" s="8"/>
    </row>
    <row r="249" spans="13:16">
      <c r="M249" s="8"/>
      <c r="P249" s="8"/>
    </row>
    <row r="250" spans="13:16">
      <c r="M250" s="8"/>
      <c r="P250" s="8"/>
    </row>
    <row r="251" spans="13:16">
      <c r="M251" s="8"/>
      <c r="P251" s="8"/>
    </row>
    <row r="252" spans="13:16">
      <c r="M252" s="8"/>
      <c r="P252" s="8"/>
    </row>
    <row r="253" spans="13:16">
      <c r="M253" s="8"/>
      <c r="P253" s="8"/>
    </row>
    <row r="254" spans="13:16">
      <c r="M254" s="8"/>
      <c r="P254" s="8"/>
    </row>
    <row r="255" spans="13:16">
      <c r="M255" s="8"/>
      <c r="P255" s="8"/>
    </row>
    <row r="256" spans="13:16">
      <c r="M256" s="8"/>
      <c r="P256" s="8"/>
    </row>
    <row r="257" spans="13:16">
      <c r="M257" s="8"/>
      <c r="P257" s="8"/>
    </row>
    <row r="258" spans="13:16">
      <c r="M258" s="8"/>
      <c r="P258" s="8"/>
    </row>
    <row r="259" spans="13:16">
      <c r="M259" s="8"/>
      <c r="P259" s="8"/>
    </row>
    <row r="260" spans="13:16">
      <c r="M260" s="8"/>
      <c r="P260" s="8"/>
    </row>
    <row r="261" spans="13:16">
      <c r="M261" s="8"/>
      <c r="P261" s="8"/>
    </row>
    <row r="262" spans="13:16">
      <c r="M262" s="8"/>
      <c r="P262" s="8"/>
    </row>
    <row r="263" spans="13:16">
      <c r="M263" s="8"/>
      <c r="P263" s="8"/>
    </row>
    <row r="264" spans="13:16">
      <c r="M264" s="8"/>
      <c r="P264" s="8"/>
    </row>
    <row r="265" spans="13:16">
      <c r="M265" s="8"/>
      <c r="P265" s="8"/>
    </row>
    <row r="266" spans="13:16">
      <c r="M266" s="8"/>
      <c r="P266" s="8"/>
    </row>
    <row r="267" spans="13:16">
      <c r="M267" s="8"/>
      <c r="P267" s="8"/>
    </row>
    <row r="268" spans="13:16">
      <c r="M268" s="8"/>
      <c r="P268" s="8"/>
    </row>
    <row r="269" spans="13:16">
      <c r="M269" s="8"/>
      <c r="P269" s="8"/>
    </row>
    <row r="270" spans="13:16">
      <c r="M270" s="8"/>
      <c r="P270" s="8"/>
    </row>
    <row r="271" spans="13:16">
      <c r="M271" s="8"/>
      <c r="P271" s="8"/>
    </row>
    <row r="272" spans="13:16">
      <c r="M272" s="8"/>
      <c r="P272" s="8"/>
    </row>
    <row r="273" spans="13:16">
      <c r="M273" s="8"/>
      <c r="P273" s="8"/>
    </row>
    <row r="274" spans="13:16">
      <c r="M274" s="8"/>
      <c r="P274" s="8"/>
    </row>
    <row r="275" spans="13:16">
      <c r="M275" s="8"/>
      <c r="P275" s="8"/>
    </row>
    <row r="276" spans="13:16">
      <c r="M276" s="8"/>
      <c r="P276" s="8"/>
    </row>
    <row r="277" spans="13:16">
      <c r="M277" s="8"/>
      <c r="P277" s="8"/>
    </row>
    <row r="278" spans="13:16">
      <c r="M278" s="8"/>
      <c r="P278" s="8"/>
    </row>
    <row r="279" spans="13:16">
      <c r="M279" s="8"/>
      <c r="P279" s="8"/>
    </row>
    <row r="280" spans="13:16">
      <c r="M280" s="8"/>
      <c r="P280" s="8"/>
    </row>
    <row r="281" spans="13:16">
      <c r="M281" s="8"/>
      <c r="P281" s="8"/>
    </row>
    <row r="282" spans="13:16">
      <c r="M282" s="8"/>
      <c r="P282" s="8"/>
    </row>
    <row r="283" spans="13:16">
      <c r="M283" s="8"/>
      <c r="P283" s="8"/>
    </row>
    <row r="284" spans="13:16">
      <c r="M284" s="8"/>
      <c r="P284" s="8"/>
    </row>
    <row r="285" spans="13:16">
      <c r="M285" s="8"/>
      <c r="P285" s="8"/>
    </row>
    <row r="286" spans="13:16">
      <c r="M286" s="8"/>
      <c r="P286" s="8"/>
    </row>
    <row r="287" spans="13:16">
      <c r="M287" s="8"/>
      <c r="P287" s="8"/>
    </row>
    <row r="288" spans="13:16">
      <c r="M288" s="8"/>
      <c r="P288" s="8"/>
    </row>
    <row r="289" spans="13:16">
      <c r="M289" s="8"/>
      <c r="P289" s="8"/>
    </row>
    <row r="290" spans="13:16">
      <c r="M290" s="8"/>
      <c r="P290" s="8"/>
    </row>
    <row r="291" spans="13:16">
      <c r="M291" s="8"/>
      <c r="P291" s="8"/>
    </row>
    <row r="292" spans="13:16">
      <c r="M292" s="8"/>
      <c r="P292" s="8"/>
    </row>
    <row r="293" spans="13:16">
      <c r="M293" s="8"/>
      <c r="P293" s="8"/>
    </row>
    <row r="294" spans="13:16">
      <c r="M294" s="8"/>
      <c r="P294" s="8"/>
    </row>
    <row r="295" spans="13:16">
      <c r="M295" s="8"/>
      <c r="P295" s="8"/>
    </row>
    <row r="296" spans="13:16">
      <c r="M296" s="8"/>
      <c r="P296" s="8"/>
    </row>
    <row r="297" spans="13:16">
      <c r="M297" s="8"/>
      <c r="P297" s="8"/>
    </row>
    <row r="298" spans="13:16">
      <c r="M298" s="8"/>
      <c r="P298" s="8"/>
    </row>
    <row r="299" spans="13:16">
      <c r="M299" s="8"/>
      <c r="P299" s="8"/>
    </row>
    <row r="300" spans="13:16">
      <c r="M300" s="8"/>
      <c r="P300" s="8"/>
    </row>
    <row r="301" spans="13:16">
      <c r="M301" s="8"/>
      <c r="P301" s="8"/>
    </row>
    <row r="302" spans="13:16">
      <c r="M302" s="8"/>
      <c r="P302" s="8"/>
    </row>
    <row r="303" spans="13:16">
      <c r="M303" s="8"/>
      <c r="P303" s="8"/>
    </row>
    <row r="304" spans="13:16">
      <c r="M304" s="8"/>
      <c r="P304" s="8"/>
    </row>
    <row r="305" spans="13:16">
      <c r="M305" s="8"/>
      <c r="P305" s="8"/>
    </row>
    <row r="306" spans="13:16">
      <c r="M306" s="8"/>
      <c r="P306" s="8"/>
    </row>
    <row r="307" spans="13:16">
      <c r="M307" s="8"/>
      <c r="P307" s="8"/>
    </row>
    <row r="308" spans="13:16">
      <c r="M308" s="8"/>
      <c r="P308" s="8"/>
    </row>
    <row r="309" spans="13:16">
      <c r="M309" s="8"/>
      <c r="P309" s="8"/>
    </row>
    <row r="310" spans="13:16">
      <c r="M310" s="8"/>
      <c r="P310" s="8"/>
    </row>
    <row r="311" spans="13:16">
      <c r="M311" s="8"/>
      <c r="P311" s="8"/>
    </row>
    <row r="312" spans="13:16">
      <c r="M312" s="8"/>
      <c r="P312" s="8"/>
    </row>
    <row r="313" spans="13:16">
      <c r="M313" s="8"/>
      <c r="P313" s="8"/>
    </row>
    <row r="314" spans="13:16">
      <c r="M314" s="8"/>
      <c r="P314" s="8"/>
    </row>
    <row r="315" spans="13:16">
      <c r="M315" s="8"/>
      <c r="P315" s="8"/>
    </row>
    <row r="316" spans="13:16">
      <c r="M316" s="8"/>
      <c r="P316" s="8"/>
    </row>
    <row r="317" spans="13:16">
      <c r="M317" s="8"/>
      <c r="P317" s="8"/>
    </row>
    <row r="318" spans="13:16">
      <c r="M318" s="8"/>
      <c r="P318" s="8"/>
    </row>
    <row r="319" spans="13:16">
      <c r="M319" s="8"/>
      <c r="P319" s="8"/>
    </row>
    <row r="320" spans="13:16">
      <c r="M320" s="8"/>
      <c r="P320" s="8"/>
    </row>
    <row r="321" spans="13:16">
      <c r="M321" s="8"/>
      <c r="P321" s="8"/>
    </row>
    <row r="322" spans="13:16">
      <c r="M322" s="8"/>
      <c r="P322" s="8"/>
    </row>
    <row r="323" spans="13:16">
      <c r="M323" s="8"/>
      <c r="P323" s="8"/>
    </row>
    <row r="324" spans="13:16">
      <c r="M324" s="8"/>
      <c r="P324" s="8"/>
    </row>
    <row r="325" spans="13:16">
      <c r="M325" s="8"/>
      <c r="P325" s="8"/>
    </row>
    <row r="326" spans="13:16">
      <c r="M326" s="8"/>
      <c r="P326" s="8"/>
    </row>
    <row r="327" spans="13:16">
      <c r="M327" s="8"/>
      <c r="P327" s="8"/>
    </row>
    <row r="328" spans="13:16">
      <c r="M328" s="8"/>
      <c r="P328" s="8"/>
    </row>
    <row r="329" spans="13:16">
      <c r="M329" s="8"/>
      <c r="P329" s="8"/>
    </row>
    <row r="330" spans="13:16">
      <c r="M330" s="8"/>
      <c r="P330" s="8"/>
    </row>
    <row r="331" spans="13:16">
      <c r="M331" s="8"/>
      <c r="P331" s="8"/>
    </row>
    <row r="332" spans="13:16">
      <c r="M332" s="8"/>
      <c r="P332" s="8"/>
    </row>
    <row r="333" spans="13:16">
      <c r="M333" s="8"/>
      <c r="P333" s="8"/>
    </row>
    <row r="334" spans="13:16">
      <c r="M334" s="8"/>
      <c r="P334" s="8"/>
    </row>
    <row r="335" spans="13:16">
      <c r="M335" s="8"/>
      <c r="P335" s="8"/>
    </row>
    <row r="336" spans="13:16">
      <c r="M336" s="8"/>
      <c r="P336" s="8"/>
    </row>
    <row r="337" spans="13:16">
      <c r="M337" s="8"/>
      <c r="P337" s="8"/>
    </row>
    <row r="338" spans="13:16">
      <c r="M338" s="8"/>
      <c r="P338" s="8"/>
    </row>
    <row r="339" spans="13:16">
      <c r="M339" s="8"/>
      <c r="P339" s="8"/>
    </row>
    <row r="340" spans="13:16">
      <c r="M340" s="8"/>
      <c r="P340" s="8"/>
    </row>
    <row r="341" spans="13:16">
      <c r="M341" s="8"/>
      <c r="P341" s="8"/>
    </row>
    <row r="342" spans="13:16">
      <c r="M342" s="8"/>
      <c r="P342" s="8"/>
    </row>
    <row r="343" spans="13:16">
      <c r="M343" s="8"/>
      <c r="P343" s="8"/>
    </row>
    <row r="344" spans="13:16">
      <c r="M344" s="8"/>
      <c r="P344" s="8"/>
    </row>
    <row r="345" spans="13:16">
      <c r="M345" s="8"/>
      <c r="P345" s="8"/>
    </row>
    <row r="346" spans="13:16">
      <c r="M346" s="8"/>
      <c r="P346" s="8"/>
    </row>
    <row r="347" spans="13:16">
      <c r="M347" s="8"/>
      <c r="P347" s="8"/>
    </row>
    <row r="348" spans="13:16">
      <c r="M348" s="8"/>
      <c r="P348" s="8"/>
    </row>
    <row r="349" spans="13:16">
      <c r="M349" s="8"/>
      <c r="P349" s="8"/>
    </row>
    <row r="350" spans="13:16">
      <c r="M350" s="8"/>
      <c r="P350" s="8"/>
    </row>
    <row r="351" spans="13:16">
      <c r="M351" s="8"/>
      <c r="P351" s="8"/>
    </row>
    <row r="352" spans="13:16">
      <c r="M352" s="8"/>
      <c r="P352" s="8"/>
    </row>
    <row r="353" spans="13:16">
      <c r="M353" s="8"/>
      <c r="P353" s="8"/>
    </row>
    <row r="354" spans="13:16">
      <c r="M354" s="8"/>
      <c r="P354" s="8"/>
    </row>
    <row r="355" spans="13:16">
      <c r="M355" s="8"/>
      <c r="P355" s="8"/>
    </row>
    <row r="356" spans="13:16">
      <c r="M356" s="8"/>
      <c r="P356" s="8"/>
    </row>
    <row r="357" spans="13:16">
      <c r="M357" s="8"/>
      <c r="P357" s="8"/>
    </row>
    <row r="358" spans="13:16">
      <c r="M358" s="8"/>
      <c r="P358" s="8"/>
    </row>
    <row r="359" spans="13:16">
      <c r="M359" s="8"/>
      <c r="P359" s="8"/>
    </row>
    <row r="360" spans="13:16">
      <c r="M360" s="8"/>
      <c r="P360" s="8"/>
    </row>
    <row r="361" spans="13:16">
      <c r="M361" s="8"/>
      <c r="P361" s="8"/>
    </row>
    <row r="362" spans="13:16">
      <c r="M362" s="8"/>
      <c r="P362" s="8"/>
    </row>
    <row r="363" spans="13:16">
      <c r="M363" s="8"/>
      <c r="P363" s="8"/>
    </row>
    <row r="364" spans="13:16">
      <c r="M364" s="8"/>
      <c r="P364" s="8"/>
    </row>
    <row r="365" spans="13:16">
      <c r="M365" s="8"/>
      <c r="P365" s="8"/>
    </row>
    <row r="366" spans="13:16">
      <c r="M366" s="8"/>
      <c r="P366" s="8"/>
    </row>
    <row r="367" spans="13:16">
      <c r="M367" s="8"/>
      <c r="P367" s="8"/>
    </row>
    <row r="368" spans="13:16">
      <c r="M368" s="8"/>
      <c r="P368" s="8"/>
    </row>
    <row r="369" spans="13:16">
      <c r="M369" s="8"/>
      <c r="P369" s="8"/>
    </row>
    <row r="370" spans="13:16">
      <c r="M370" s="8"/>
      <c r="P370" s="8"/>
    </row>
    <row r="371" spans="13:16">
      <c r="M371" s="8"/>
      <c r="P371" s="8"/>
    </row>
    <row r="372" spans="13:16">
      <c r="M372" s="8"/>
      <c r="P372" s="8"/>
    </row>
    <row r="373" spans="13:16">
      <c r="M373" s="8"/>
      <c r="P373" s="8"/>
    </row>
    <row r="374" spans="13:16">
      <c r="M374" s="8"/>
      <c r="P374" s="8"/>
    </row>
    <row r="375" spans="13:16">
      <c r="M375" s="8"/>
      <c r="P375" s="8"/>
    </row>
    <row r="376" spans="13:16">
      <c r="M376" s="8"/>
      <c r="P376" s="8"/>
    </row>
    <row r="377" spans="13:16">
      <c r="M377" s="8"/>
      <c r="P377" s="8"/>
    </row>
    <row r="378" spans="13:16">
      <c r="M378" s="8"/>
      <c r="P378" s="8"/>
    </row>
    <row r="379" spans="13:16">
      <c r="M379" s="8"/>
      <c r="P379" s="8"/>
    </row>
    <row r="380" spans="13:16">
      <c r="M380" s="8"/>
      <c r="P380" s="8"/>
    </row>
    <row r="381" spans="13:16">
      <c r="M381" s="8"/>
      <c r="P381" s="8"/>
    </row>
    <row r="382" spans="13:16">
      <c r="M382" s="8"/>
      <c r="P382" s="8"/>
    </row>
    <row r="383" spans="13:16">
      <c r="M383" s="8"/>
      <c r="P383" s="8"/>
    </row>
    <row r="384" spans="13:16">
      <c r="M384" s="8"/>
      <c r="P384" s="8"/>
    </row>
    <row r="385" spans="13:16">
      <c r="M385" s="8"/>
      <c r="P385" s="8"/>
    </row>
    <row r="386" spans="13:16">
      <c r="M386" s="8"/>
      <c r="P386" s="8"/>
    </row>
    <row r="387" spans="13:16">
      <c r="M387" s="8"/>
      <c r="P387" s="8"/>
    </row>
    <row r="388" spans="13:16">
      <c r="M388" s="8"/>
      <c r="P388" s="8"/>
    </row>
    <row r="389" spans="13:16">
      <c r="M389" s="8"/>
      <c r="P389" s="8"/>
    </row>
    <row r="390" spans="13:16">
      <c r="M390" s="8"/>
      <c r="P390" s="8"/>
    </row>
    <row r="391" spans="13:16">
      <c r="M391" s="8"/>
      <c r="P391" s="8"/>
    </row>
    <row r="392" spans="13:16">
      <c r="M392" s="8"/>
      <c r="P392" s="8"/>
    </row>
    <row r="393" spans="13:16">
      <c r="M393" s="8"/>
      <c r="P393" s="8"/>
    </row>
    <row r="394" spans="13:16">
      <c r="M394" s="8"/>
      <c r="P394" s="8"/>
    </row>
    <row r="395" spans="13:16">
      <c r="M395" s="8"/>
      <c r="P395" s="8"/>
    </row>
    <row r="396" spans="13:16">
      <c r="M396" s="8"/>
      <c r="P396" s="8"/>
    </row>
    <row r="397" spans="13:16">
      <c r="M397" s="8"/>
      <c r="P397" s="8"/>
    </row>
    <row r="398" spans="13:16">
      <c r="M398" s="8"/>
      <c r="P398" s="8"/>
    </row>
    <row r="399" spans="13:16">
      <c r="M399" s="8"/>
      <c r="P399" s="8"/>
    </row>
    <row r="400" spans="13:16">
      <c r="M400" s="8"/>
      <c r="P400" s="8"/>
    </row>
    <row r="401" spans="13:16">
      <c r="M401" s="8"/>
      <c r="P401" s="8"/>
    </row>
    <row r="402" spans="13:16">
      <c r="M402" s="8"/>
      <c r="P402" s="8"/>
    </row>
    <row r="403" spans="13:16">
      <c r="M403" s="8"/>
      <c r="P403" s="8"/>
    </row>
    <row r="404" spans="13:16">
      <c r="M404" s="8"/>
      <c r="P404" s="8"/>
    </row>
    <row r="405" spans="13:16">
      <c r="M405" s="8"/>
      <c r="P405" s="8"/>
    </row>
    <row r="406" spans="13:16">
      <c r="M406" s="8"/>
      <c r="P406" s="8"/>
    </row>
    <row r="407" spans="13:16">
      <c r="M407" s="8"/>
      <c r="P407" s="8"/>
    </row>
    <row r="408" spans="13:16">
      <c r="M408" s="8"/>
      <c r="P408" s="8"/>
    </row>
    <row r="409" spans="13:16">
      <c r="M409" s="8"/>
      <c r="P409" s="8"/>
    </row>
    <row r="410" spans="13:16">
      <c r="M410" s="8"/>
      <c r="P410" s="8"/>
    </row>
    <row r="411" spans="13:16">
      <c r="M411" s="8"/>
      <c r="P411" s="8"/>
    </row>
    <row r="412" spans="13:16">
      <c r="M412" s="8"/>
      <c r="P412" s="8"/>
    </row>
    <row r="413" spans="13:16">
      <c r="M413" s="8"/>
      <c r="P413" s="8"/>
    </row>
    <row r="414" spans="13:16">
      <c r="M414" s="8"/>
      <c r="P414" s="8"/>
    </row>
    <row r="415" spans="13:16">
      <c r="M415" s="8"/>
      <c r="P415" s="8"/>
    </row>
    <row r="416" spans="13:16">
      <c r="M416" s="8"/>
      <c r="P416" s="8"/>
    </row>
    <row r="417" spans="13:16">
      <c r="M417" s="8"/>
      <c r="P417" s="8"/>
    </row>
    <row r="418" spans="13:16">
      <c r="M418" s="8"/>
      <c r="P418" s="8"/>
    </row>
    <row r="419" spans="13:16">
      <c r="M419" s="8"/>
      <c r="P419" s="8"/>
    </row>
    <row r="420" spans="13:16">
      <c r="M420" s="8"/>
      <c r="P420" s="8"/>
    </row>
    <row r="421" spans="13:16">
      <c r="M421" s="8"/>
      <c r="P421" s="8"/>
    </row>
    <row r="422" spans="13:16">
      <c r="M422" s="8"/>
      <c r="P422" s="8"/>
    </row>
    <row r="423" spans="13:16">
      <c r="M423" s="8"/>
      <c r="P423" s="8"/>
    </row>
    <row r="424" spans="13:16">
      <c r="M424" s="8"/>
      <c r="P424" s="8"/>
    </row>
    <row r="425" spans="13:16">
      <c r="M425" s="8"/>
      <c r="P425" s="8"/>
    </row>
    <row r="426" spans="13:16">
      <c r="M426" s="8"/>
      <c r="P426" s="8"/>
    </row>
    <row r="427" spans="13:16">
      <c r="M427" s="8"/>
      <c r="P427" s="8"/>
    </row>
    <row r="428" spans="13:16">
      <c r="M428" s="8"/>
      <c r="P428" s="8"/>
    </row>
    <row r="429" spans="13:16">
      <c r="M429" s="8"/>
      <c r="P429" s="8"/>
    </row>
    <row r="430" spans="13:16">
      <c r="M430" s="8"/>
      <c r="P430" s="8"/>
    </row>
    <row r="431" spans="13:16">
      <c r="M431" s="8"/>
      <c r="P431" s="8"/>
    </row>
    <row r="432" spans="13:16">
      <c r="M432" s="8"/>
      <c r="P432" s="8"/>
    </row>
    <row r="433" spans="13:16">
      <c r="M433" s="8"/>
      <c r="P433" s="8"/>
    </row>
    <row r="434" spans="13:16">
      <c r="M434" s="8"/>
      <c r="P434" s="8"/>
    </row>
    <row r="435" spans="13:16">
      <c r="M435" s="8"/>
      <c r="P435" s="8"/>
    </row>
    <row r="436" spans="13:16">
      <c r="M436" s="8"/>
      <c r="P436" s="8"/>
    </row>
    <row r="437" spans="13:16">
      <c r="M437" s="8"/>
      <c r="P437" s="8"/>
    </row>
    <row r="438" spans="13:16">
      <c r="M438" s="8"/>
      <c r="P438" s="8"/>
    </row>
    <row r="439" spans="13:16">
      <c r="M439" s="8"/>
      <c r="P439" s="8"/>
    </row>
    <row r="440" spans="13:16">
      <c r="M440" s="8"/>
      <c r="P440" s="8"/>
    </row>
    <row r="441" spans="13:16">
      <c r="M441" s="8"/>
      <c r="P441" s="8"/>
    </row>
    <row r="442" spans="13:16">
      <c r="M442" s="8"/>
      <c r="P442" s="8"/>
    </row>
    <row r="443" spans="13:16">
      <c r="M443" s="8"/>
      <c r="P443" s="8"/>
    </row>
    <row r="444" spans="13:16">
      <c r="M444" s="8"/>
      <c r="P444" s="8"/>
    </row>
    <row r="445" spans="13:16">
      <c r="M445" s="8"/>
      <c r="P445" s="8"/>
    </row>
    <row r="446" spans="13:16">
      <c r="M446" s="8"/>
      <c r="P446" s="8"/>
    </row>
    <row r="447" spans="13:16">
      <c r="M447" s="8"/>
      <c r="P447" s="8"/>
    </row>
    <row r="448" spans="13:16">
      <c r="M448" s="8"/>
      <c r="P448" s="8"/>
    </row>
    <row r="449" spans="13:16">
      <c r="M449" s="8"/>
      <c r="P449" s="8"/>
    </row>
    <row r="450" spans="13:16">
      <c r="M450" s="8"/>
      <c r="P450" s="8"/>
    </row>
    <row r="451" spans="13:16">
      <c r="M451" s="8"/>
      <c r="P451" s="8"/>
    </row>
    <row r="452" spans="13:16">
      <c r="M452" s="8"/>
      <c r="P452" s="8"/>
    </row>
    <row r="453" spans="13:16">
      <c r="M453" s="8"/>
      <c r="P453" s="8"/>
    </row>
    <row r="454" spans="13:16">
      <c r="M454" s="8"/>
      <c r="P454" s="8"/>
    </row>
    <row r="455" spans="13:16">
      <c r="M455" s="8"/>
      <c r="P455" s="8"/>
    </row>
    <row r="456" spans="13:16">
      <c r="M456" s="8"/>
      <c r="P456" s="8"/>
    </row>
    <row r="457" spans="13:16">
      <c r="M457" s="8"/>
      <c r="P457" s="8"/>
    </row>
    <row r="458" spans="13:16">
      <c r="M458" s="8"/>
      <c r="P458" s="8"/>
    </row>
    <row r="459" spans="13:16">
      <c r="M459" s="8"/>
      <c r="P459" s="8"/>
    </row>
    <row r="460" spans="13:16">
      <c r="M460" s="8"/>
      <c r="P460" s="8"/>
    </row>
    <row r="461" spans="13:16">
      <c r="M461" s="8"/>
      <c r="P461" s="8"/>
    </row>
    <row r="462" spans="13:16">
      <c r="M462" s="8"/>
      <c r="P462" s="8"/>
    </row>
    <row r="463" spans="13:16">
      <c r="M463" s="8"/>
      <c r="P463" s="8"/>
    </row>
    <row r="464" spans="13:16">
      <c r="M464" s="8"/>
      <c r="P464" s="8"/>
    </row>
    <row r="465" spans="13:16">
      <c r="M465" s="8"/>
      <c r="P465" s="8"/>
    </row>
    <row r="466" spans="13:16">
      <c r="M466" s="8"/>
      <c r="P466" s="8"/>
    </row>
    <row r="467" spans="13:16">
      <c r="M467" s="8"/>
      <c r="P467" s="8"/>
    </row>
    <row r="468" spans="13:16">
      <c r="M468" s="8"/>
      <c r="P468" s="8"/>
    </row>
    <row r="469" spans="13:16">
      <c r="M469" s="8"/>
      <c r="P469" s="8"/>
    </row>
    <row r="470" spans="13:16">
      <c r="M470" s="8"/>
      <c r="P470" s="8"/>
    </row>
    <row r="471" spans="13:16">
      <c r="M471" s="8"/>
      <c r="P471" s="8"/>
    </row>
    <row r="472" spans="13:16">
      <c r="M472" s="8"/>
      <c r="P472" s="8"/>
    </row>
    <row r="473" spans="13:16">
      <c r="M473" s="8"/>
      <c r="P473" s="8"/>
    </row>
    <row r="474" spans="13:16">
      <c r="M474" s="8"/>
      <c r="P474" s="8"/>
    </row>
    <row r="475" spans="13:16">
      <c r="M475" s="8"/>
      <c r="P475" s="8"/>
    </row>
    <row r="476" spans="13:16">
      <c r="M476" s="8"/>
      <c r="P476" s="8"/>
    </row>
    <row r="477" spans="13:16">
      <c r="M477" s="8"/>
      <c r="P477" s="8"/>
    </row>
    <row r="478" spans="13:16">
      <c r="M478" s="8"/>
      <c r="P478" s="8"/>
    </row>
    <row r="479" spans="13:16">
      <c r="M479" s="8"/>
      <c r="P479" s="8"/>
    </row>
    <row r="480" spans="13:16">
      <c r="M480" s="8"/>
      <c r="P480" s="8"/>
    </row>
    <row r="481" spans="13:16">
      <c r="M481" s="8"/>
      <c r="P481" s="8"/>
    </row>
    <row r="482" spans="13:16">
      <c r="M482" s="8"/>
      <c r="P482" s="8"/>
    </row>
    <row r="483" spans="13:16">
      <c r="M483" s="8"/>
      <c r="P483" s="8"/>
    </row>
    <row r="484" spans="13:16">
      <c r="M484" s="8"/>
      <c r="P484" s="8"/>
    </row>
    <row r="485" spans="13:16">
      <c r="M485" s="8"/>
      <c r="P485" s="8"/>
    </row>
    <row r="486" spans="13:16">
      <c r="M486" s="8"/>
      <c r="P486" s="8"/>
    </row>
    <row r="487" spans="13:16">
      <c r="M487" s="8"/>
      <c r="P487" s="8"/>
    </row>
    <row r="488" spans="13:16">
      <c r="M488" s="8"/>
      <c r="P488" s="8"/>
    </row>
    <row r="489" spans="13:16">
      <c r="M489" s="8"/>
      <c r="P489" s="8"/>
    </row>
    <row r="490" spans="13:16">
      <c r="M490" s="8"/>
      <c r="P490" s="8"/>
    </row>
    <row r="491" spans="13:16">
      <c r="M491" s="8"/>
      <c r="P491" s="8"/>
    </row>
    <row r="492" spans="13:16">
      <c r="M492" s="8"/>
      <c r="P492" s="8"/>
    </row>
    <row r="493" spans="13:16">
      <c r="M493" s="8"/>
      <c r="P493" s="8"/>
    </row>
    <row r="494" spans="13:16">
      <c r="M494" s="8"/>
      <c r="P494" s="8"/>
    </row>
    <row r="495" spans="13:16">
      <c r="M495" s="8"/>
      <c r="P495" s="8"/>
    </row>
    <row r="496" spans="13:16">
      <c r="M496" s="8"/>
      <c r="P496" s="8"/>
    </row>
    <row r="497" spans="13:16">
      <c r="M497" s="8"/>
      <c r="P497" s="8"/>
    </row>
    <row r="498" spans="13:16">
      <c r="M498" s="8"/>
      <c r="P498" s="8"/>
    </row>
    <row r="499" spans="13:16">
      <c r="M499" s="8"/>
      <c r="P499" s="8"/>
    </row>
    <row r="500" spans="13:16">
      <c r="M500" s="8"/>
      <c r="P500" s="8"/>
    </row>
    <row r="501" spans="13:16">
      <c r="M501" s="8"/>
      <c r="P501" s="8"/>
    </row>
    <row r="502" spans="13:16">
      <c r="M502" s="8"/>
      <c r="P502" s="8"/>
    </row>
    <row r="503" spans="13:16">
      <c r="M503" s="8"/>
      <c r="P503" s="8"/>
    </row>
    <row r="504" spans="13:16">
      <c r="M504" s="8"/>
      <c r="P504" s="8"/>
    </row>
    <row r="505" spans="13:16">
      <c r="M505" s="8"/>
      <c r="P505" s="8"/>
    </row>
    <row r="506" spans="13:16">
      <c r="M506" s="8"/>
      <c r="P506" s="8"/>
    </row>
    <row r="507" spans="13:16">
      <c r="M507" s="8"/>
      <c r="P507" s="8"/>
    </row>
    <row r="508" spans="13:16">
      <c r="M508" s="8"/>
      <c r="P508" s="8"/>
    </row>
    <row r="509" spans="13:16">
      <c r="M509" s="8"/>
      <c r="P509" s="8"/>
    </row>
    <row r="510" spans="13:16">
      <c r="M510" s="8"/>
      <c r="P510" s="8"/>
    </row>
    <row r="511" spans="13:16">
      <c r="M511" s="8"/>
      <c r="P511" s="8"/>
    </row>
    <row r="512" spans="13:16">
      <c r="M512" s="8"/>
      <c r="P512" s="8"/>
    </row>
    <row r="513" spans="13:16">
      <c r="M513" s="8"/>
      <c r="P513" s="8"/>
    </row>
    <row r="514" spans="13:16">
      <c r="M514" s="8"/>
      <c r="P514" s="8"/>
    </row>
    <row r="515" spans="13:16">
      <c r="M515" s="8"/>
      <c r="P515" s="8"/>
    </row>
    <row r="516" spans="13:16">
      <c r="M516" s="8"/>
      <c r="P516" s="8"/>
    </row>
    <row r="517" spans="13:16">
      <c r="M517" s="8"/>
      <c r="P517" s="8"/>
    </row>
    <row r="518" spans="13:16">
      <c r="M518" s="8"/>
      <c r="P518" s="8"/>
    </row>
    <row r="519" spans="13:16">
      <c r="M519" s="8"/>
      <c r="P519" s="8"/>
    </row>
    <row r="520" spans="13:16">
      <c r="M520" s="8"/>
      <c r="P520" s="8"/>
    </row>
    <row r="521" spans="13:16">
      <c r="M521" s="8"/>
      <c r="P521" s="8"/>
    </row>
    <row r="522" spans="13:16">
      <c r="M522" s="8"/>
      <c r="P522" s="8"/>
    </row>
    <row r="523" spans="13:16">
      <c r="M523" s="8"/>
      <c r="P523" s="8"/>
    </row>
    <row r="524" spans="13:16">
      <c r="M524" s="8"/>
      <c r="P524" s="8"/>
    </row>
    <row r="525" spans="13:16">
      <c r="M525" s="8"/>
      <c r="P525" s="8"/>
    </row>
    <row r="526" spans="13:16">
      <c r="M526" s="8"/>
      <c r="P526" s="8"/>
    </row>
    <row r="527" spans="13:16">
      <c r="M527" s="8"/>
      <c r="P527" s="8"/>
    </row>
    <row r="528" spans="13:16">
      <c r="M528" s="8"/>
      <c r="P528" s="8"/>
    </row>
    <row r="529" spans="13:16">
      <c r="M529" s="8"/>
      <c r="P529" s="8"/>
    </row>
    <row r="530" spans="13:16">
      <c r="M530" s="8"/>
      <c r="P530" s="8"/>
    </row>
    <row r="531" spans="13:16">
      <c r="M531" s="8"/>
      <c r="P531" s="8"/>
    </row>
    <row r="532" spans="13:16">
      <c r="M532" s="8"/>
      <c r="P532" s="8"/>
    </row>
    <row r="533" spans="13:16">
      <c r="M533" s="8"/>
      <c r="P533" s="8"/>
    </row>
    <row r="534" spans="13:16">
      <c r="M534" s="8"/>
      <c r="P534" s="8"/>
    </row>
    <row r="535" spans="13:16">
      <c r="M535" s="8"/>
      <c r="P535" s="8"/>
    </row>
    <row r="536" spans="13:16">
      <c r="M536" s="8"/>
      <c r="P536" s="8"/>
    </row>
    <row r="537" spans="13:16">
      <c r="M537" s="8"/>
      <c r="P537" s="8"/>
    </row>
    <row r="538" spans="13:16">
      <c r="M538" s="8"/>
      <c r="P538" s="8"/>
    </row>
    <row r="539" spans="13:16">
      <c r="M539" s="8"/>
      <c r="P539" s="8"/>
    </row>
    <row r="540" spans="13:16">
      <c r="M540" s="8"/>
      <c r="P540" s="8"/>
    </row>
    <row r="541" spans="13:16">
      <c r="M541" s="8"/>
      <c r="P541" s="8"/>
    </row>
    <row r="542" spans="13:16">
      <c r="M542" s="8"/>
      <c r="P542" s="8"/>
    </row>
    <row r="543" spans="13:16">
      <c r="M543" s="8"/>
      <c r="P543" s="8"/>
    </row>
    <row r="544" spans="13:16">
      <c r="M544" s="8"/>
      <c r="P544" s="8"/>
    </row>
    <row r="545" spans="13:16">
      <c r="M545" s="8"/>
      <c r="P545" s="8"/>
    </row>
    <row r="546" spans="13:16">
      <c r="M546" s="8"/>
      <c r="P546" s="8"/>
    </row>
    <row r="547" spans="13:16">
      <c r="M547" s="8"/>
      <c r="P547" s="8"/>
    </row>
    <row r="548" spans="13:16">
      <c r="M548" s="8"/>
      <c r="P548" s="8"/>
    </row>
    <row r="549" spans="13:16">
      <c r="M549" s="8"/>
      <c r="P549" s="8"/>
    </row>
    <row r="550" spans="13:16">
      <c r="M550" s="8"/>
      <c r="P550" s="8"/>
    </row>
    <row r="551" spans="13:16">
      <c r="M551" s="8"/>
      <c r="P551" s="8"/>
    </row>
    <row r="552" spans="13:16">
      <c r="M552" s="8"/>
      <c r="P552" s="8"/>
    </row>
    <row r="553" spans="13:16">
      <c r="M553" s="8"/>
      <c r="P553" s="8"/>
    </row>
    <row r="554" spans="13:16">
      <c r="M554" s="8"/>
      <c r="P554" s="8"/>
    </row>
    <row r="555" spans="13:16">
      <c r="M555" s="8"/>
      <c r="P555" s="8"/>
    </row>
    <row r="556" spans="13:16">
      <c r="M556" s="8"/>
      <c r="P556" s="8"/>
    </row>
    <row r="557" spans="13:16">
      <c r="M557" s="8"/>
      <c r="P557" s="8"/>
    </row>
    <row r="558" spans="13:16">
      <c r="M558" s="8"/>
      <c r="P558" s="8"/>
    </row>
    <row r="559" spans="13:16">
      <c r="M559" s="8"/>
      <c r="P559" s="8"/>
    </row>
    <row r="560" spans="13:16">
      <c r="M560" s="8"/>
      <c r="P560" s="8"/>
    </row>
    <row r="561" spans="13:16">
      <c r="M561" s="8"/>
      <c r="P561" s="8"/>
    </row>
    <row r="562" spans="13:16">
      <c r="M562" s="8"/>
      <c r="P562" s="8"/>
    </row>
    <row r="563" spans="13:16">
      <c r="M563" s="8"/>
      <c r="P563" s="8"/>
    </row>
    <row r="564" spans="13:16">
      <c r="M564" s="8"/>
      <c r="P564" s="8"/>
    </row>
    <row r="565" spans="13:16">
      <c r="M565" s="8"/>
      <c r="P565" s="8"/>
    </row>
    <row r="566" spans="13:16">
      <c r="M566" s="8"/>
      <c r="P566" s="8"/>
    </row>
    <row r="567" spans="13:16">
      <c r="M567" s="8"/>
      <c r="P567" s="8"/>
    </row>
    <row r="568" spans="13:16">
      <c r="M568" s="8"/>
      <c r="P568" s="8"/>
    </row>
    <row r="569" spans="13:16">
      <c r="M569" s="8"/>
      <c r="P569" s="8"/>
    </row>
    <row r="570" spans="13:16">
      <c r="M570" s="8"/>
      <c r="P570" s="8"/>
    </row>
    <row r="571" spans="13:16">
      <c r="M571" s="8"/>
      <c r="P571" s="8"/>
    </row>
    <row r="572" spans="13:16">
      <c r="M572" s="8"/>
      <c r="P572" s="8"/>
    </row>
    <row r="573" spans="13:16">
      <c r="M573" s="8"/>
      <c r="P573" s="8"/>
    </row>
    <row r="574" spans="13:16">
      <c r="M574" s="8"/>
      <c r="P574" s="8"/>
    </row>
    <row r="575" spans="13:16">
      <c r="M575" s="8"/>
      <c r="P575" s="8"/>
    </row>
    <row r="576" spans="13:16">
      <c r="M576" s="8"/>
      <c r="P576" s="8"/>
    </row>
    <row r="577" spans="13:16">
      <c r="M577" s="8"/>
      <c r="P577" s="8"/>
    </row>
    <row r="578" spans="13:16">
      <c r="M578" s="8"/>
      <c r="P578" s="8"/>
    </row>
    <row r="579" spans="13:16">
      <c r="M579" s="8"/>
      <c r="P579" s="8"/>
    </row>
    <row r="580" spans="13:16">
      <c r="M580" s="8"/>
      <c r="P580" s="8"/>
    </row>
    <row r="581" spans="13:16">
      <c r="M581" s="8"/>
      <c r="P581" s="8"/>
    </row>
    <row r="582" spans="13:16">
      <c r="M582" s="8"/>
      <c r="P582" s="8"/>
    </row>
    <row r="583" spans="13:16">
      <c r="M583" s="8"/>
      <c r="P583" s="8"/>
    </row>
    <row r="584" spans="13:16">
      <c r="M584" s="8"/>
      <c r="P584" s="8"/>
    </row>
    <row r="585" spans="13:16">
      <c r="M585" s="8"/>
      <c r="P585" s="8"/>
    </row>
    <row r="586" spans="13:16">
      <c r="M586" s="8"/>
      <c r="P586" s="8"/>
    </row>
    <row r="587" spans="13:16">
      <c r="M587" s="8"/>
      <c r="P587" s="8"/>
    </row>
    <row r="588" spans="13:16">
      <c r="M588" s="8"/>
      <c r="P588" s="8"/>
    </row>
    <row r="589" spans="13:16">
      <c r="M589" s="8"/>
      <c r="P589" s="8"/>
    </row>
    <row r="590" spans="13:16">
      <c r="M590" s="8"/>
      <c r="P590" s="8"/>
    </row>
    <row r="591" spans="13:16">
      <c r="M591" s="8"/>
      <c r="P591" s="8"/>
    </row>
    <row r="592" spans="13:16">
      <c r="M592" s="8"/>
      <c r="P592" s="8"/>
    </row>
    <row r="593" spans="13:16">
      <c r="M593" s="8"/>
      <c r="P593" s="8"/>
    </row>
    <row r="594" spans="13:16">
      <c r="M594" s="8"/>
      <c r="P594" s="8"/>
    </row>
    <row r="595" spans="13:16">
      <c r="M595" s="8"/>
      <c r="P595" s="8"/>
    </row>
    <row r="596" spans="13:16">
      <c r="M596" s="8"/>
      <c r="P596" s="8"/>
    </row>
    <row r="597" spans="13:16">
      <c r="M597" s="8"/>
      <c r="P597" s="8"/>
    </row>
    <row r="598" spans="13:16">
      <c r="M598" s="8"/>
      <c r="P598" s="8"/>
    </row>
    <row r="599" spans="13:16">
      <c r="M599" s="8"/>
      <c r="P599" s="8"/>
    </row>
    <row r="600" spans="13:16">
      <c r="M600" s="8"/>
      <c r="P600" s="8"/>
    </row>
    <row r="601" spans="13:16">
      <c r="M601" s="8"/>
      <c r="P601" s="8"/>
    </row>
    <row r="602" spans="13:16">
      <c r="M602" s="8"/>
      <c r="P602" s="8"/>
    </row>
    <row r="603" spans="13:16">
      <c r="M603" s="8"/>
      <c r="P603" s="8"/>
    </row>
    <row r="604" spans="13:16">
      <c r="M604" s="8"/>
      <c r="P604" s="8"/>
    </row>
    <row r="605" spans="13:16">
      <c r="M605" s="8"/>
      <c r="P605" s="8"/>
    </row>
    <row r="606" spans="13:16">
      <c r="M606" s="8"/>
      <c r="P606" s="8"/>
    </row>
    <row r="607" spans="13:16">
      <c r="M607" s="8"/>
      <c r="P607" s="8"/>
    </row>
    <row r="608" spans="13:16">
      <c r="M608" s="8"/>
      <c r="P608" s="8"/>
    </row>
    <row r="609" spans="13:16">
      <c r="M609" s="8"/>
      <c r="P609" s="8"/>
    </row>
    <row r="610" spans="13:16">
      <c r="M610" s="8"/>
      <c r="P610" s="8"/>
    </row>
    <row r="611" spans="13:16">
      <c r="M611" s="8"/>
      <c r="P611" s="8"/>
    </row>
    <row r="612" spans="13:16">
      <c r="M612" s="8"/>
      <c r="P612" s="8"/>
    </row>
    <row r="613" spans="13:16">
      <c r="M613" s="8"/>
      <c r="P613" s="8"/>
    </row>
    <row r="614" spans="13:16">
      <c r="M614" s="8"/>
      <c r="P614" s="8"/>
    </row>
    <row r="615" spans="13:16">
      <c r="M615" s="8"/>
      <c r="P615" s="8"/>
    </row>
    <row r="616" spans="13:16">
      <c r="M616" s="8"/>
      <c r="P616" s="8"/>
    </row>
    <row r="617" spans="13:16">
      <c r="M617" s="8"/>
      <c r="P617" s="8"/>
    </row>
    <row r="618" spans="13:16">
      <c r="M618" s="8"/>
      <c r="P618" s="8"/>
    </row>
    <row r="619" spans="13:16">
      <c r="M619" s="8"/>
      <c r="P619" s="8"/>
    </row>
    <row r="620" spans="13:16">
      <c r="M620" s="8"/>
      <c r="P620" s="8"/>
    </row>
    <row r="621" spans="13:16">
      <c r="M621" s="8"/>
      <c r="P621" s="8"/>
    </row>
    <row r="622" spans="13:16">
      <c r="M622" s="8"/>
      <c r="P622" s="8"/>
    </row>
    <row r="623" spans="13:16">
      <c r="M623" s="8"/>
      <c r="P623" s="8"/>
    </row>
    <row r="624" spans="13:16">
      <c r="M624" s="8"/>
      <c r="P624" s="8"/>
    </row>
    <row r="625" spans="13:16">
      <c r="M625" s="8"/>
      <c r="P625" s="8"/>
    </row>
    <row r="626" spans="13:16">
      <c r="M626" s="8"/>
      <c r="P626" s="8"/>
    </row>
    <row r="627" spans="13:16">
      <c r="M627" s="8"/>
      <c r="P627" s="8"/>
    </row>
    <row r="628" spans="13:16">
      <c r="M628" s="8"/>
      <c r="P628" s="8"/>
    </row>
    <row r="629" spans="13:16">
      <c r="M629" s="8"/>
      <c r="P629" s="8"/>
    </row>
    <row r="630" spans="13:16">
      <c r="M630" s="8"/>
      <c r="P630" s="8"/>
    </row>
    <row r="631" spans="13:16">
      <c r="M631" s="8"/>
      <c r="P631" s="8"/>
    </row>
    <row r="632" spans="13:16">
      <c r="M632" s="8"/>
      <c r="P632" s="8"/>
    </row>
    <row r="633" spans="13:16">
      <c r="M633" s="8"/>
      <c r="P633" s="8"/>
    </row>
    <row r="634" spans="13:16">
      <c r="M634" s="8"/>
      <c r="P634" s="8"/>
    </row>
    <row r="635" spans="13:16">
      <c r="M635" s="8"/>
      <c r="P635" s="8"/>
    </row>
    <row r="636" spans="13:16">
      <c r="M636" s="8"/>
      <c r="P636" s="8"/>
    </row>
    <row r="637" spans="13:16">
      <c r="M637" s="8"/>
      <c r="P637" s="8"/>
    </row>
    <row r="638" spans="13:16">
      <c r="M638" s="8"/>
      <c r="P638" s="8"/>
    </row>
    <row r="639" spans="13:16">
      <c r="M639" s="8"/>
      <c r="P639" s="8"/>
    </row>
    <row r="640" spans="13:16">
      <c r="M640" s="8"/>
      <c r="P640" s="8"/>
    </row>
    <row r="641" spans="13:16">
      <c r="M641" s="8"/>
      <c r="P641" s="8"/>
    </row>
    <row r="642" spans="13:16">
      <c r="M642" s="8"/>
      <c r="P642" s="8"/>
    </row>
    <row r="643" spans="13:16">
      <c r="M643" s="8"/>
      <c r="P643" s="8"/>
    </row>
    <row r="644" spans="13:16">
      <c r="M644" s="8"/>
      <c r="P644" s="8"/>
    </row>
    <row r="645" spans="13:16">
      <c r="M645" s="8"/>
      <c r="P645" s="8"/>
    </row>
    <row r="646" spans="13:16">
      <c r="M646" s="8"/>
      <c r="P646" s="8"/>
    </row>
    <row r="647" spans="13:16">
      <c r="M647" s="8"/>
      <c r="P647" s="8"/>
    </row>
    <row r="648" spans="13:16">
      <c r="M648" s="8"/>
      <c r="P648" s="8"/>
    </row>
    <row r="649" spans="13:16">
      <c r="M649" s="8"/>
      <c r="P649" s="8"/>
    </row>
    <row r="650" spans="13:16">
      <c r="M650" s="8"/>
      <c r="P650" s="8"/>
    </row>
    <row r="651" spans="13:16">
      <c r="M651" s="8"/>
      <c r="P651" s="8"/>
    </row>
    <row r="652" spans="13:16">
      <c r="M652" s="8"/>
      <c r="P652" s="8"/>
    </row>
    <row r="653" spans="13:16">
      <c r="M653" s="8"/>
      <c r="P653" s="8"/>
    </row>
    <row r="654" spans="13:16">
      <c r="M654" s="8"/>
      <c r="P654" s="8"/>
    </row>
    <row r="655" spans="13:16">
      <c r="M655" s="8"/>
      <c r="P655" s="8"/>
    </row>
    <row r="656" spans="13:16">
      <c r="M656" s="8"/>
      <c r="P656" s="8"/>
    </row>
    <row r="657" spans="13:16">
      <c r="M657" s="8"/>
      <c r="P657" s="8"/>
    </row>
    <row r="658" spans="13:16">
      <c r="M658" s="8"/>
      <c r="P658" s="8"/>
    </row>
    <row r="659" spans="13:16">
      <c r="M659" s="8"/>
      <c r="P659" s="8"/>
    </row>
    <row r="660" spans="13:16">
      <c r="M660" s="8"/>
      <c r="P660" s="8"/>
    </row>
    <row r="661" spans="13:16">
      <c r="M661" s="8"/>
      <c r="P661" s="8"/>
    </row>
    <row r="662" spans="13:16">
      <c r="M662" s="8"/>
      <c r="P662" s="8"/>
    </row>
    <row r="663" spans="13:16">
      <c r="M663" s="8"/>
      <c r="P663" s="8"/>
    </row>
    <row r="664" spans="13:16">
      <c r="M664" s="8"/>
      <c r="P664" s="8"/>
    </row>
    <row r="665" spans="13:16">
      <c r="M665" s="8"/>
      <c r="P665" s="8"/>
    </row>
    <row r="666" spans="13:16">
      <c r="M666" s="8"/>
      <c r="P666" s="8"/>
    </row>
    <row r="667" spans="13:16">
      <c r="M667" s="8"/>
      <c r="P667" s="8"/>
    </row>
    <row r="668" spans="13:16">
      <c r="M668" s="8"/>
      <c r="P668" s="8"/>
    </row>
    <row r="669" spans="13:16">
      <c r="M669" s="8"/>
      <c r="P669" s="8"/>
    </row>
    <row r="670" spans="13:16">
      <c r="M670" s="8"/>
      <c r="P670" s="8"/>
    </row>
    <row r="671" spans="13:16">
      <c r="M671" s="8"/>
      <c r="P671" s="8"/>
    </row>
    <row r="672" spans="13:16">
      <c r="M672" s="8"/>
      <c r="P672" s="8"/>
    </row>
    <row r="673" spans="13:16">
      <c r="M673" s="8"/>
      <c r="P673" s="8"/>
    </row>
    <row r="674" spans="13:16">
      <c r="M674" s="8"/>
      <c r="P674" s="8"/>
    </row>
    <row r="675" spans="13:16">
      <c r="M675" s="8"/>
      <c r="P675" s="8"/>
    </row>
    <row r="676" spans="13:16">
      <c r="M676" s="8"/>
      <c r="P676" s="8"/>
    </row>
    <row r="677" spans="13:16">
      <c r="M677" s="8"/>
      <c r="P677" s="8"/>
    </row>
    <row r="678" spans="13:16">
      <c r="M678" s="8"/>
      <c r="P678" s="8"/>
    </row>
    <row r="679" spans="13:16">
      <c r="M679" s="8"/>
      <c r="P679" s="8"/>
    </row>
    <row r="680" spans="13:16">
      <c r="M680" s="8"/>
      <c r="P680" s="8"/>
    </row>
    <row r="681" spans="13:16">
      <c r="M681" s="8"/>
      <c r="P681" s="8"/>
    </row>
    <row r="682" spans="13:16">
      <c r="M682" s="8"/>
      <c r="P682" s="8"/>
    </row>
    <row r="683" spans="13:16">
      <c r="M683" s="8"/>
      <c r="P683" s="8"/>
    </row>
    <row r="684" spans="13:16">
      <c r="M684" s="8"/>
      <c r="P684" s="8"/>
    </row>
    <row r="685" spans="13:16">
      <c r="M685" s="8"/>
      <c r="P685" s="8"/>
    </row>
    <row r="686" spans="13:16">
      <c r="M686" s="8"/>
      <c r="P686" s="8"/>
    </row>
    <row r="687" spans="13:16">
      <c r="M687" s="8"/>
      <c r="P687" s="8"/>
    </row>
    <row r="688" spans="13:16">
      <c r="M688" s="8"/>
      <c r="P688" s="8"/>
    </row>
    <row r="689" spans="13:16">
      <c r="M689" s="8"/>
      <c r="P689" s="8"/>
    </row>
    <row r="690" spans="13:16">
      <c r="M690" s="8"/>
      <c r="P690" s="8"/>
    </row>
    <row r="691" spans="13:16">
      <c r="M691" s="8"/>
      <c r="P691" s="8"/>
    </row>
    <row r="692" spans="13:16">
      <c r="M692" s="8"/>
      <c r="P692" s="8"/>
    </row>
    <row r="693" spans="13:16">
      <c r="M693" s="8"/>
      <c r="P693" s="8"/>
    </row>
    <row r="694" spans="13:16">
      <c r="M694" s="8"/>
      <c r="P694" s="8"/>
    </row>
    <row r="695" spans="13:16">
      <c r="M695" s="8"/>
      <c r="P695" s="8"/>
    </row>
    <row r="696" spans="13:16">
      <c r="M696" s="8"/>
      <c r="P696" s="8"/>
    </row>
    <row r="697" spans="13:16">
      <c r="M697" s="8"/>
      <c r="P697" s="8"/>
    </row>
    <row r="698" spans="13:16">
      <c r="M698" s="8"/>
      <c r="P698" s="8"/>
    </row>
    <row r="699" spans="13:16">
      <c r="M699" s="8"/>
      <c r="P699" s="8"/>
    </row>
    <row r="700" spans="13:16">
      <c r="M700" s="8"/>
      <c r="P700" s="8"/>
    </row>
    <row r="701" spans="13:16">
      <c r="M701" s="8"/>
      <c r="P701" s="8"/>
    </row>
    <row r="702" spans="13:16">
      <c r="M702" s="8"/>
      <c r="P702" s="8"/>
    </row>
    <row r="703" spans="13:16">
      <c r="M703" s="8"/>
      <c r="P703" s="8"/>
    </row>
    <row r="704" spans="13:16">
      <c r="M704" s="8"/>
      <c r="P704" s="8"/>
    </row>
    <row r="705" spans="13:16">
      <c r="M705" s="8"/>
      <c r="P705" s="8"/>
    </row>
    <row r="706" spans="13:16">
      <c r="M706" s="8"/>
      <c r="P706" s="8"/>
    </row>
    <row r="707" spans="13:16">
      <c r="M707" s="8"/>
      <c r="P707" s="8"/>
    </row>
    <row r="708" spans="13:16">
      <c r="M708" s="8"/>
      <c r="P708" s="8"/>
    </row>
    <row r="709" spans="13:16">
      <c r="M709" s="8"/>
      <c r="P709" s="8"/>
    </row>
    <row r="710" spans="13:16">
      <c r="M710" s="8"/>
      <c r="P710" s="8"/>
    </row>
    <row r="711" spans="13:16">
      <c r="M711" s="8"/>
      <c r="P711" s="8"/>
    </row>
    <row r="712" spans="13:16">
      <c r="M712" s="8"/>
      <c r="P712" s="8"/>
    </row>
    <row r="713" spans="13:16">
      <c r="M713" s="8"/>
      <c r="P713" s="8"/>
    </row>
    <row r="714" spans="13:16">
      <c r="M714" s="8"/>
      <c r="P714" s="8"/>
    </row>
    <row r="715" spans="13:16">
      <c r="M715" s="8"/>
      <c r="P715" s="8"/>
    </row>
    <row r="716" spans="13:16">
      <c r="M716" s="8"/>
      <c r="P716" s="8"/>
    </row>
    <row r="717" spans="13:16">
      <c r="M717" s="8"/>
      <c r="P717" s="8"/>
    </row>
    <row r="718" spans="13:16">
      <c r="M718" s="8"/>
      <c r="P718" s="8"/>
    </row>
    <row r="719" spans="13:16">
      <c r="M719" s="8"/>
      <c r="P719" s="8"/>
    </row>
    <row r="720" spans="13:16">
      <c r="M720" s="8"/>
      <c r="P720" s="8"/>
    </row>
    <row r="721" spans="13:16">
      <c r="M721" s="8"/>
      <c r="P721" s="8"/>
    </row>
    <row r="722" spans="13:16">
      <c r="M722" s="8"/>
      <c r="P722" s="8"/>
    </row>
    <row r="723" spans="13:16">
      <c r="M723" s="8"/>
      <c r="P723" s="8"/>
    </row>
    <row r="724" spans="13:16">
      <c r="M724" s="8"/>
      <c r="P724" s="8"/>
    </row>
    <row r="725" spans="13:16">
      <c r="M725" s="8"/>
      <c r="P725" s="8"/>
    </row>
    <row r="726" spans="13:16">
      <c r="M726" s="8"/>
      <c r="P726" s="8"/>
    </row>
    <row r="727" spans="13:16">
      <c r="M727" s="8"/>
      <c r="P727" s="8"/>
    </row>
    <row r="728" spans="13:16">
      <c r="M728" s="8"/>
      <c r="P728" s="8"/>
    </row>
    <row r="729" spans="13:16">
      <c r="M729" s="8"/>
      <c r="P729" s="8"/>
    </row>
    <row r="730" spans="13:16">
      <c r="M730" s="8"/>
      <c r="P730" s="8"/>
    </row>
    <row r="731" spans="13:16">
      <c r="M731" s="8"/>
      <c r="P731" s="8"/>
    </row>
    <row r="732" spans="13:16">
      <c r="M732" s="8"/>
      <c r="P732" s="8"/>
    </row>
    <row r="733" spans="13:16">
      <c r="M733" s="8"/>
      <c r="P733" s="8"/>
    </row>
    <row r="734" spans="13:16">
      <c r="M734" s="8"/>
      <c r="P734" s="8"/>
    </row>
    <row r="735" spans="13:16">
      <c r="M735" s="8"/>
      <c r="P735" s="8"/>
    </row>
    <row r="736" spans="13:16">
      <c r="M736" s="8"/>
      <c r="P736" s="8"/>
    </row>
    <row r="737" spans="13:16">
      <c r="M737" s="8"/>
      <c r="P737" s="8"/>
    </row>
    <row r="738" spans="13:16">
      <c r="M738" s="8"/>
      <c r="P738" s="8"/>
    </row>
    <row r="739" spans="13:16">
      <c r="M739" s="8"/>
      <c r="P739" s="8"/>
    </row>
    <row r="740" spans="13:16">
      <c r="M740" s="8"/>
      <c r="P740" s="8"/>
    </row>
    <row r="741" spans="13:16">
      <c r="M741" s="8"/>
      <c r="P741" s="8"/>
    </row>
    <row r="742" spans="13:16">
      <c r="M742" s="8"/>
      <c r="P742" s="8"/>
    </row>
    <row r="743" spans="13:16">
      <c r="M743" s="8"/>
      <c r="P743" s="8"/>
    </row>
    <row r="744" spans="13:16">
      <c r="M744" s="8"/>
      <c r="P744" s="8"/>
    </row>
    <row r="745" spans="13:16">
      <c r="M745" s="8"/>
      <c r="P745" s="8"/>
    </row>
    <row r="746" spans="13:16">
      <c r="M746" s="8"/>
      <c r="P746" s="8"/>
    </row>
    <row r="747" spans="13:16">
      <c r="M747" s="8"/>
      <c r="P747" s="8"/>
    </row>
    <row r="748" spans="13:16">
      <c r="M748" s="8"/>
      <c r="P748" s="8"/>
    </row>
    <row r="749" spans="13:16">
      <c r="M749" s="8"/>
      <c r="P749" s="8"/>
    </row>
    <row r="750" spans="13:16">
      <c r="M750" s="8"/>
      <c r="P750" s="8"/>
    </row>
    <row r="751" spans="13:16">
      <c r="M751" s="8"/>
      <c r="P751" s="8"/>
    </row>
    <row r="752" spans="13:16">
      <c r="M752" s="8"/>
      <c r="P752" s="8"/>
    </row>
    <row r="753" spans="13:16">
      <c r="M753" s="8"/>
      <c r="P753" s="8"/>
    </row>
    <row r="754" spans="13:16">
      <c r="M754" s="8"/>
      <c r="P754" s="8"/>
    </row>
    <row r="755" spans="13:16">
      <c r="M755" s="8"/>
      <c r="P755" s="8"/>
    </row>
    <row r="756" spans="13:16">
      <c r="M756" s="8"/>
      <c r="P756" s="8"/>
    </row>
    <row r="757" spans="13:16">
      <c r="M757" s="8"/>
      <c r="P757" s="8"/>
    </row>
    <row r="758" spans="13:16">
      <c r="M758" s="8"/>
      <c r="P758" s="8"/>
    </row>
    <row r="759" spans="13:16">
      <c r="M759" s="8"/>
      <c r="P759" s="8"/>
    </row>
    <row r="760" spans="13:16">
      <c r="M760" s="8"/>
      <c r="P760" s="8"/>
    </row>
    <row r="761" spans="13:16">
      <c r="M761" s="8"/>
      <c r="P761" s="8"/>
    </row>
    <row r="762" spans="13:16">
      <c r="M762" s="8"/>
      <c r="P762" s="8"/>
    </row>
    <row r="763" spans="13:16">
      <c r="M763" s="8"/>
      <c r="P763" s="8"/>
    </row>
    <row r="764" spans="13:16">
      <c r="M764" s="8"/>
      <c r="P764" s="8"/>
    </row>
    <row r="765" spans="13:16">
      <c r="M765" s="8"/>
      <c r="P765" s="8"/>
    </row>
    <row r="766" spans="13:16">
      <c r="M766" s="8"/>
      <c r="P766" s="8"/>
    </row>
    <row r="767" spans="13:16">
      <c r="M767" s="8"/>
      <c r="P767" s="8"/>
    </row>
    <row r="768" spans="13:16">
      <c r="M768" s="8"/>
      <c r="P768" s="8"/>
    </row>
    <row r="769" spans="13:16">
      <c r="M769" s="8"/>
      <c r="P769" s="8"/>
    </row>
    <row r="770" spans="13:16">
      <c r="M770" s="8"/>
      <c r="P770" s="8"/>
    </row>
    <row r="771" spans="13:16">
      <c r="M771" s="8"/>
      <c r="P771" s="8"/>
    </row>
    <row r="772" spans="13:16">
      <c r="M772" s="8"/>
      <c r="P772" s="8"/>
    </row>
    <row r="773" spans="13:16">
      <c r="M773" s="8"/>
      <c r="P773" s="8"/>
    </row>
    <row r="774" spans="13:16">
      <c r="M774" s="8"/>
      <c r="P774" s="8"/>
    </row>
    <row r="775" spans="13:16">
      <c r="M775" s="8"/>
      <c r="P775" s="8"/>
    </row>
    <row r="776" spans="13:16">
      <c r="M776" s="8"/>
      <c r="P776" s="8"/>
    </row>
    <row r="777" spans="13:16">
      <c r="M777" s="8"/>
      <c r="P777" s="8"/>
    </row>
    <row r="778" spans="13:16">
      <c r="M778" s="8"/>
      <c r="P778" s="8"/>
    </row>
    <row r="779" spans="13:16">
      <c r="M779" s="8"/>
      <c r="P779" s="8"/>
    </row>
    <row r="780" spans="13:16">
      <c r="M780" s="8"/>
      <c r="P780" s="8"/>
    </row>
    <row r="781" spans="13:16">
      <c r="M781" s="8"/>
      <c r="P781" s="8"/>
    </row>
    <row r="782" spans="13:16">
      <c r="M782" s="8"/>
      <c r="P782" s="8"/>
    </row>
    <row r="783" spans="13:16">
      <c r="M783" s="8"/>
      <c r="P783" s="8"/>
    </row>
    <row r="784" spans="13:16">
      <c r="M784" s="8"/>
      <c r="P784" s="8"/>
    </row>
    <row r="785" spans="13:16">
      <c r="M785" s="8"/>
      <c r="P785" s="8"/>
    </row>
    <row r="786" spans="13:16">
      <c r="M786" s="8"/>
      <c r="P786" s="8"/>
    </row>
    <row r="787" spans="13:16">
      <c r="M787" s="8"/>
      <c r="P787" s="8"/>
    </row>
    <row r="788" spans="13:16">
      <c r="M788" s="8"/>
      <c r="P788" s="8"/>
    </row>
    <row r="789" spans="13:16">
      <c r="M789" s="8"/>
      <c r="P789" s="8"/>
    </row>
    <row r="790" spans="13:16">
      <c r="M790" s="8"/>
      <c r="P790" s="8"/>
    </row>
    <row r="791" spans="13:16">
      <c r="M791" s="8"/>
      <c r="P791" s="8"/>
    </row>
    <row r="792" spans="13:16">
      <c r="M792" s="8"/>
      <c r="P792" s="8"/>
    </row>
    <row r="793" spans="13:16">
      <c r="M793" s="8"/>
      <c r="P793" s="8"/>
    </row>
    <row r="794" spans="13:16">
      <c r="M794" s="8"/>
      <c r="P794" s="8"/>
    </row>
    <row r="795" spans="13:16">
      <c r="M795" s="8"/>
      <c r="P795" s="8"/>
    </row>
    <row r="796" spans="13:16">
      <c r="M796" s="8"/>
      <c r="P796" s="8"/>
    </row>
    <row r="797" spans="13:16">
      <c r="M797" s="8"/>
      <c r="P797" s="8"/>
    </row>
    <row r="798" spans="13:16">
      <c r="M798" s="8"/>
      <c r="P798" s="8"/>
    </row>
    <row r="799" spans="13:16">
      <c r="M799" s="8"/>
      <c r="P799" s="8"/>
    </row>
    <row r="800" spans="13:16">
      <c r="M800" s="8"/>
      <c r="P800" s="8"/>
    </row>
    <row r="801" spans="13:16">
      <c r="M801" s="8"/>
      <c r="P801" s="8"/>
    </row>
    <row r="802" spans="13:16">
      <c r="M802" s="8"/>
      <c r="P802" s="8"/>
    </row>
    <row r="803" spans="13:16">
      <c r="M803" s="8"/>
      <c r="P803" s="8"/>
    </row>
    <row r="804" spans="13:16">
      <c r="M804" s="8"/>
      <c r="P804" s="8"/>
    </row>
    <row r="805" spans="13:16">
      <c r="M805" s="8"/>
      <c r="P805" s="8"/>
    </row>
    <row r="806" spans="13:16">
      <c r="M806" s="8"/>
      <c r="P806" s="8"/>
    </row>
    <row r="807" spans="13:16">
      <c r="M807" s="8"/>
      <c r="P807" s="8"/>
    </row>
    <row r="808" spans="13:16">
      <c r="M808" s="8"/>
      <c r="P808" s="8"/>
    </row>
    <row r="809" spans="13:16">
      <c r="M809" s="8"/>
      <c r="P809" s="8"/>
    </row>
    <row r="810" spans="13:16">
      <c r="M810" s="8"/>
      <c r="P810" s="8"/>
    </row>
    <row r="811" spans="13:16">
      <c r="M811" s="8"/>
      <c r="P811" s="8"/>
    </row>
    <row r="812" spans="13:16">
      <c r="M812" s="8"/>
      <c r="P812" s="8"/>
    </row>
    <row r="813" spans="13:16">
      <c r="M813" s="8"/>
      <c r="P813" s="8"/>
    </row>
    <row r="814" spans="13:16">
      <c r="M814" s="8"/>
      <c r="P814" s="8"/>
    </row>
    <row r="815" spans="13:16">
      <c r="M815" s="8"/>
      <c r="P815" s="8"/>
    </row>
    <row r="816" spans="13:16">
      <c r="M816" s="8"/>
      <c r="P816" s="8"/>
    </row>
    <row r="817" spans="13:16">
      <c r="M817" s="8"/>
      <c r="P817" s="8"/>
    </row>
    <row r="818" spans="13:16">
      <c r="M818" s="8"/>
      <c r="P818" s="8"/>
    </row>
    <row r="819" spans="13:16">
      <c r="M819" s="8"/>
      <c r="P819" s="8"/>
    </row>
    <row r="820" spans="13:16">
      <c r="M820" s="8"/>
      <c r="P820" s="8"/>
    </row>
    <row r="821" spans="13:16">
      <c r="M821" s="8"/>
      <c r="P821" s="8"/>
    </row>
    <row r="822" spans="13:16">
      <c r="M822" s="8"/>
      <c r="P822" s="8"/>
    </row>
    <row r="823" spans="13:16">
      <c r="M823" s="8"/>
      <c r="P823" s="8"/>
    </row>
    <row r="824" spans="13:16">
      <c r="M824" s="8"/>
      <c r="P824" s="8"/>
    </row>
    <row r="825" spans="13:16">
      <c r="M825" s="8"/>
      <c r="P825" s="8"/>
    </row>
    <row r="826" spans="13:16">
      <c r="M826" s="8"/>
      <c r="P826" s="8"/>
    </row>
    <row r="827" spans="13:16">
      <c r="M827" s="8"/>
      <c r="P827" s="8"/>
    </row>
    <row r="828" spans="13:16">
      <c r="M828" s="8"/>
      <c r="P828" s="8"/>
    </row>
    <row r="829" spans="13:16">
      <c r="M829" s="8"/>
      <c r="P829" s="8"/>
    </row>
    <row r="830" spans="13:16">
      <c r="M830" s="8"/>
      <c r="P830" s="8"/>
    </row>
    <row r="831" spans="13:16">
      <c r="M831" s="8"/>
      <c r="P831" s="8"/>
    </row>
    <row r="832" spans="13:16">
      <c r="M832" s="8"/>
      <c r="P832" s="8"/>
    </row>
    <row r="833" spans="13:16">
      <c r="M833" s="8"/>
      <c r="P833" s="8"/>
    </row>
    <row r="834" spans="13:16">
      <c r="M834" s="8"/>
      <c r="P834" s="8"/>
    </row>
    <row r="835" spans="13:16">
      <c r="M835" s="8"/>
      <c r="P835" s="8"/>
    </row>
    <row r="836" spans="13:16">
      <c r="M836" s="8"/>
      <c r="P836" s="8"/>
    </row>
    <row r="837" spans="13:16">
      <c r="M837" s="8"/>
      <c r="P837" s="8"/>
    </row>
    <row r="838" spans="13:16">
      <c r="M838" s="8"/>
      <c r="P838" s="8"/>
    </row>
    <row r="839" spans="13:16">
      <c r="M839" s="8"/>
      <c r="P839" s="8"/>
    </row>
    <row r="840" spans="13:16">
      <c r="M840" s="8"/>
      <c r="P840" s="8"/>
    </row>
    <row r="841" spans="13:16">
      <c r="M841" s="8"/>
      <c r="P841" s="8"/>
    </row>
    <row r="842" spans="13:16">
      <c r="M842" s="8"/>
      <c r="P842" s="8"/>
    </row>
    <row r="843" spans="13:16">
      <c r="M843" s="8"/>
      <c r="P843" s="8"/>
    </row>
    <row r="844" spans="13:16">
      <c r="M844" s="8"/>
      <c r="P844" s="8"/>
    </row>
    <row r="845" spans="13:16">
      <c r="M845" s="8"/>
      <c r="P845" s="8"/>
    </row>
    <row r="846" spans="13:16">
      <c r="M846" s="8"/>
      <c r="P846" s="8"/>
    </row>
    <row r="847" spans="13:16">
      <c r="M847" s="8"/>
      <c r="P847" s="8"/>
    </row>
    <row r="848" spans="13:16">
      <c r="M848" s="8"/>
      <c r="P848" s="8"/>
    </row>
    <row r="849" spans="13:16">
      <c r="M849" s="8"/>
      <c r="P849" s="8"/>
    </row>
    <row r="850" spans="13:16">
      <c r="M850" s="8"/>
      <c r="P850" s="8"/>
    </row>
    <row r="851" spans="13:16">
      <c r="M851" s="8"/>
      <c r="P851" s="8"/>
    </row>
    <row r="852" spans="13:16">
      <c r="M852" s="8"/>
      <c r="P852" s="8"/>
    </row>
    <row r="853" spans="13:16">
      <c r="M853" s="8"/>
      <c r="P853" s="8"/>
    </row>
    <row r="854" spans="13:16">
      <c r="M854" s="8"/>
      <c r="P854" s="8"/>
    </row>
    <row r="855" spans="13:16">
      <c r="M855" s="8"/>
      <c r="P855" s="8"/>
    </row>
    <row r="856" spans="13:16">
      <c r="M856" s="8"/>
      <c r="P856" s="8"/>
    </row>
    <row r="857" spans="13:16">
      <c r="M857" s="8"/>
      <c r="P857" s="8"/>
    </row>
    <row r="858" spans="13:16">
      <c r="M858" s="8"/>
      <c r="P858" s="8"/>
    </row>
    <row r="859" spans="13:16">
      <c r="M859" s="8"/>
      <c r="P859" s="8"/>
    </row>
    <row r="860" spans="13:16">
      <c r="M860" s="8"/>
      <c r="P860" s="8"/>
    </row>
    <row r="861" spans="13:16">
      <c r="M861" s="8"/>
      <c r="P861" s="8"/>
    </row>
    <row r="862" spans="13:16">
      <c r="M862" s="8"/>
      <c r="P862" s="8"/>
    </row>
    <row r="863" spans="13:16">
      <c r="M863" s="8"/>
      <c r="P863" s="8"/>
    </row>
    <row r="864" spans="13:16">
      <c r="M864" s="8"/>
      <c r="P864" s="8"/>
    </row>
    <row r="865" spans="13:16">
      <c r="M865" s="8"/>
      <c r="P865" s="8"/>
    </row>
    <row r="866" spans="13:16">
      <c r="M866" s="8"/>
      <c r="P866" s="8"/>
    </row>
    <row r="867" spans="13:16">
      <c r="M867" s="8"/>
      <c r="P867" s="8"/>
    </row>
    <row r="868" spans="13:16">
      <c r="M868" s="8"/>
      <c r="P868" s="8"/>
    </row>
    <row r="869" spans="13:16">
      <c r="M869" s="8"/>
      <c r="P869" s="8"/>
    </row>
    <row r="870" spans="13:16">
      <c r="M870" s="8"/>
      <c r="P870" s="8"/>
    </row>
    <row r="871" spans="13:16">
      <c r="M871" s="8"/>
      <c r="P871" s="8"/>
    </row>
    <row r="872" spans="13:16">
      <c r="M872" s="8"/>
      <c r="P872" s="8"/>
    </row>
    <row r="873" spans="13:16">
      <c r="M873" s="8"/>
      <c r="P873" s="8"/>
    </row>
    <row r="874" spans="13:16">
      <c r="M874" s="8"/>
      <c r="P874" s="8"/>
    </row>
    <row r="875" spans="13:16">
      <c r="M875" s="8"/>
      <c r="P875" s="8"/>
    </row>
    <row r="876" spans="13:16">
      <c r="M876" s="8"/>
      <c r="P876" s="8"/>
    </row>
    <row r="877" spans="13:16">
      <c r="M877" s="8"/>
      <c r="P877" s="8"/>
    </row>
    <row r="878" spans="13:16">
      <c r="M878" s="8"/>
      <c r="P878" s="8"/>
    </row>
    <row r="879" spans="13:16">
      <c r="M879" s="8"/>
      <c r="P879" s="8"/>
    </row>
    <row r="880" spans="13:16">
      <c r="M880" s="8"/>
      <c r="P880" s="8"/>
    </row>
    <row r="881" spans="13:16">
      <c r="M881" s="8"/>
      <c r="P881" s="8"/>
    </row>
    <row r="882" spans="13:16">
      <c r="M882" s="8"/>
      <c r="P882" s="8"/>
    </row>
    <row r="883" spans="13:16">
      <c r="M883" s="8"/>
      <c r="P883" s="8"/>
    </row>
    <row r="884" spans="13:16">
      <c r="M884" s="8"/>
      <c r="P884" s="8"/>
    </row>
    <row r="885" spans="13:16">
      <c r="M885" s="8"/>
      <c r="P885" s="8"/>
    </row>
    <row r="886" spans="13:16">
      <c r="M886" s="8"/>
      <c r="P886" s="8"/>
    </row>
    <row r="887" spans="13:16">
      <c r="M887" s="8"/>
      <c r="P887" s="8"/>
    </row>
    <row r="888" spans="13:16">
      <c r="M888" s="8"/>
      <c r="P888" s="8"/>
    </row>
    <row r="889" spans="13:16">
      <c r="M889" s="8"/>
      <c r="P889" s="8"/>
    </row>
    <row r="890" spans="13:16">
      <c r="M890" s="8"/>
      <c r="P890" s="8"/>
    </row>
    <row r="891" spans="13:16">
      <c r="M891" s="8"/>
      <c r="P891" s="8"/>
    </row>
    <row r="892" spans="13:16">
      <c r="M892" s="8"/>
      <c r="P892" s="8"/>
    </row>
    <row r="893" spans="13:16">
      <c r="M893" s="8"/>
      <c r="P893" s="8"/>
    </row>
    <row r="894" spans="13:16">
      <c r="M894" s="8"/>
      <c r="P894" s="8"/>
    </row>
    <row r="895" spans="13:16">
      <c r="M895" s="8"/>
      <c r="P895" s="8"/>
    </row>
    <row r="896" spans="13:16">
      <c r="M896" s="8"/>
      <c r="P896" s="8"/>
    </row>
    <row r="897" spans="13:16">
      <c r="M897" s="8"/>
      <c r="P897" s="8"/>
    </row>
    <row r="898" spans="13:16">
      <c r="M898" s="8"/>
      <c r="P898" s="8"/>
    </row>
    <row r="899" spans="13:16">
      <c r="M899" s="8"/>
      <c r="P899" s="8"/>
    </row>
    <row r="900" spans="13:16">
      <c r="M900" s="8"/>
      <c r="P900" s="8"/>
    </row>
    <row r="901" spans="13:16">
      <c r="M901" s="8"/>
      <c r="P901" s="8"/>
    </row>
    <row r="902" spans="13:16">
      <c r="M902" s="8"/>
      <c r="P902" s="8"/>
    </row>
    <row r="903" spans="13:16">
      <c r="M903" s="8"/>
      <c r="P903" s="8"/>
    </row>
    <row r="904" spans="13:16">
      <c r="M904" s="8"/>
      <c r="P904" s="8"/>
    </row>
    <row r="905" spans="13:16">
      <c r="M905" s="8"/>
      <c r="P905" s="8"/>
    </row>
    <row r="906" spans="13:16">
      <c r="M906" s="8"/>
      <c r="P906" s="8"/>
    </row>
    <row r="907" spans="13:16">
      <c r="M907" s="8"/>
      <c r="P907" s="8"/>
    </row>
    <row r="908" spans="13:16">
      <c r="M908" s="8"/>
      <c r="P908" s="8"/>
    </row>
    <row r="909" spans="13:16">
      <c r="M909" s="8"/>
      <c r="P909" s="8"/>
    </row>
    <row r="910" spans="13:16">
      <c r="M910" s="8"/>
      <c r="P910" s="8"/>
    </row>
    <row r="911" spans="13:16">
      <c r="M911" s="8"/>
      <c r="P911" s="8"/>
    </row>
    <row r="912" spans="13:16">
      <c r="M912" s="8"/>
      <c r="P912" s="8"/>
    </row>
    <row r="913" spans="13:16">
      <c r="M913" s="8"/>
      <c r="P913" s="8"/>
    </row>
    <row r="914" spans="13:16">
      <c r="M914" s="8"/>
      <c r="P914" s="8"/>
    </row>
    <row r="915" spans="13:16">
      <c r="M915" s="8"/>
      <c r="P915" s="8"/>
    </row>
    <row r="916" spans="13:16">
      <c r="M916" s="8"/>
      <c r="P916" s="8"/>
    </row>
    <row r="917" spans="13:16">
      <c r="M917" s="8"/>
      <c r="P917" s="8"/>
    </row>
    <row r="918" spans="13:16">
      <c r="M918" s="8"/>
      <c r="P918" s="8"/>
    </row>
    <row r="919" spans="13:16">
      <c r="M919" s="8"/>
      <c r="P919" s="8"/>
    </row>
    <row r="920" spans="13:16">
      <c r="M920" s="8"/>
      <c r="P920" s="8"/>
    </row>
    <row r="921" spans="13:16">
      <c r="M921" s="8"/>
      <c r="P921" s="8"/>
    </row>
    <row r="922" spans="13:16">
      <c r="M922" s="8"/>
      <c r="P922" s="8"/>
    </row>
    <row r="923" spans="13:16">
      <c r="M923" s="8"/>
      <c r="P923" s="8"/>
    </row>
    <row r="924" spans="13:16">
      <c r="M924" s="8"/>
      <c r="P924" s="8"/>
    </row>
    <row r="925" spans="13:16">
      <c r="M925" s="8"/>
      <c r="P925" s="8"/>
    </row>
    <row r="926" spans="13:16">
      <c r="M926" s="8"/>
      <c r="P926" s="8"/>
    </row>
    <row r="927" spans="13:16">
      <c r="M927" s="8"/>
      <c r="P927" s="8"/>
    </row>
    <row r="928" spans="13:16">
      <c r="M928" s="8"/>
      <c r="P928" s="8"/>
    </row>
    <row r="929" spans="13:16">
      <c r="M929" s="8"/>
      <c r="P929" s="8"/>
    </row>
    <row r="930" spans="13:16">
      <c r="M930" s="8"/>
      <c r="P930" s="8"/>
    </row>
    <row r="931" spans="13:16">
      <c r="M931" s="8"/>
      <c r="P931" s="8"/>
    </row>
    <row r="932" spans="13:16">
      <c r="M932" s="8"/>
      <c r="P932" s="8"/>
    </row>
    <row r="933" spans="13:16">
      <c r="M933" s="8"/>
      <c r="P933" s="8"/>
    </row>
    <row r="934" spans="13:16">
      <c r="M934" s="8"/>
      <c r="P934" s="8"/>
    </row>
    <row r="935" spans="13:16">
      <c r="M935" s="8"/>
      <c r="P935" s="8"/>
    </row>
    <row r="936" spans="13:16">
      <c r="M936" s="8"/>
      <c r="P936" s="8"/>
    </row>
    <row r="937" spans="13:16">
      <c r="M937" s="8"/>
      <c r="P937" s="8"/>
    </row>
    <row r="938" spans="13:16">
      <c r="M938" s="8"/>
      <c r="P938" s="8"/>
    </row>
    <row r="939" spans="13:16">
      <c r="M939" s="8"/>
      <c r="P939" s="8"/>
    </row>
    <row r="940" spans="13:16">
      <c r="M940" s="8"/>
      <c r="P940" s="8"/>
    </row>
    <row r="941" spans="13:16">
      <c r="M941" s="8"/>
      <c r="P941" s="8"/>
    </row>
    <row r="942" spans="13:16">
      <c r="M942" s="8"/>
      <c r="P942" s="8"/>
    </row>
    <row r="943" spans="13:16">
      <c r="M943" s="8"/>
      <c r="P943" s="8"/>
    </row>
    <row r="944" spans="13:16">
      <c r="M944" s="8"/>
      <c r="P944" s="8"/>
    </row>
    <row r="945" spans="13:16">
      <c r="M945" s="8"/>
      <c r="P945" s="8"/>
    </row>
    <row r="946" spans="13:16">
      <c r="M946" s="8"/>
      <c r="P946" s="8"/>
    </row>
    <row r="947" spans="13:16">
      <c r="M947" s="8"/>
      <c r="P947" s="8"/>
    </row>
    <row r="948" spans="13:16">
      <c r="M948" s="8"/>
      <c r="P948" s="8"/>
    </row>
    <row r="949" spans="13:16">
      <c r="M949" s="8"/>
      <c r="P949" s="8"/>
    </row>
    <row r="950" spans="13:16">
      <c r="M950" s="8"/>
      <c r="P950" s="8"/>
    </row>
    <row r="951" spans="13:16">
      <c r="M951" s="8"/>
      <c r="P951" s="8"/>
    </row>
    <row r="952" spans="13:16">
      <c r="M952" s="8"/>
      <c r="P952" s="8"/>
    </row>
    <row r="953" spans="13:16">
      <c r="M953" s="8"/>
      <c r="P953" s="8"/>
    </row>
    <row r="954" spans="13:16">
      <c r="M954" s="8"/>
      <c r="P954" s="8"/>
    </row>
    <row r="955" spans="13:16">
      <c r="M955" s="8"/>
      <c r="P955" s="8"/>
    </row>
    <row r="956" spans="13:16">
      <c r="M956" s="8"/>
      <c r="P956" s="8"/>
    </row>
    <row r="957" spans="13:16">
      <c r="M957" s="8"/>
      <c r="P957" s="8"/>
    </row>
    <row r="958" spans="13:16">
      <c r="M958" s="8"/>
      <c r="P958" s="8"/>
    </row>
    <row r="959" spans="13:16">
      <c r="M959" s="8"/>
      <c r="P959" s="8"/>
    </row>
    <row r="960" spans="13:16">
      <c r="M960" s="8"/>
      <c r="P960" s="8"/>
    </row>
    <row r="961" spans="13:16">
      <c r="M961" s="8"/>
      <c r="P961" s="8"/>
    </row>
    <row r="962" spans="13:16">
      <c r="M962" s="8"/>
      <c r="P962" s="8"/>
    </row>
    <row r="963" spans="13:16">
      <c r="M963" s="8"/>
      <c r="P963" s="8"/>
    </row>
    <row r="964" spans="13:16">
      <c r="M964" s="8"/>
      <c r="P964" s="8"/>
    </row>
    <row r="965" spans="13:16">
      <c r="M965" s="8"/>
      <c r="P965" s="8"/>
    </row>
    <row r="966" spans="13:16">
      <c r="M966" s="8"/>
      <c r="P966" s="8"/>
    </row>
    <row r="967" spans="13:16">
      <c r="M967" s="8"/>
      <c r="P967" s="8"/>
    </row>
    <row r="968" spans="13:16">
      <c r="M968" s="8"/>
      <c r="P968" s="8"/>
    </row>
    <row r="969" spans="13:16">
      <c r="M969" s="8"/>
      <c r="P969" s="8"/>
    </row>
    <row r="970" spans="13:16">
      <c r="M970" s="8"/>
      <c r="P970" s="8"/>
    </row>
    <row r="971" spans="13:16">
      <c r="M971" s="8"/>
      <c r="P971" s="8"/>
    </row>
    <row r="972" spans="13:16">
      <c r="M972" s="8"/>
      <c r="P972" s="8"/>
    </row>
    <row r="973" spans="13:16">
      <c r="M973" s="8"/>
      <c r="P973" s="8"/>
    </row>
    <row r="974" spans="13:16">
      <c r="M974" s="8"/>
      <c r="P974" s="8"/>
    </row>
    <row r="975" spans="13:16">
      <c r="M975" s="8"/>
      <c r="P975" s="8"/>
    </row>
    <row r="976" spans="13:16">
      <c r="M976" s="8"/>
      <c r="P976" s="8"/>
    </row>
    <row r="977" spans="13:16">
      <c r="M977" s="8"/>
      <c r="P977" s="8"/>
    </row>
    <row r="978" spans="13:16">
      <c r="M978" s="8"/>
      <c r="P978" s="8"/>
    </row>
    <row r="979" spans="13:16">
      <c r="M979" s="8"/>
      <c r="P979" s="8"/>
    </row>
    <row r="980" spans="13:16">
      <c r="M980" s="8"/>
      <c r="P980" s="8"/>
    </row>
    <row r="981" spans="13:16">
      <c r="M981" s="8"/>
      <c r="P981" s="8"/>
    </row>
    <row r="982" spans="13:16">
      <c r="M982" s="8"/>
      <c r="P982" s="8"/>
    </row>
    <row r="983" spans="13:16">
      <c r="M983" s="8"/>
      <c r="P983" s="8"/>
    </row>
    <row r="984" spans="13:16">
      <c r="M984" s="8"/>
      <c r="P984" s="8"/>
    </row>
    <row r="985" spans="13:16">
      <c r="M985" s="8"/>
      <c r="P985" s="8"/>
    </row>
    <row r="986" spans="13:16">
      <c r="M986" s="8"/>
      <c r="P986" s="8"/>
    </row>
    <row r="987" spans="13:16">
      <c r="M987" s="8"/>
      <c r="P987" s="8"/>
    </row>
    <row r="988" spans="13:16">
      <c r="M988" s="8"/>
      <c r="P988" s="8"/>
    </row>
    <row r="989" spans="13:16">
      <c r="M989" s="8"/>
      <c r="P989" s="8"/>
    </row>
    <row r="990" spans="13:16">
      <c r="M990" s="8"/>
      <c r="P990" s="8"/>
    </row>
    <row r="991" spans="13:16">
      <c r="M991" s="8"/>
      <c r="P991" s="8"/>
    </row>
    <row r="992" spans="13:16">
      <c r="M992" s="8"/>
      <c r="P992" s="8"/>
    </row>
    <row r="993" spans="13:16">
      <c r="M993" s="8"/>
      <c r="P993" s="8"/>
    </row>
    <row r="994" spans="13:16">
      <c r="M994" s="8"/>
      <c r="P994" s="8"/>
    </row>
    <row r="995" spans="13:16">
      <c r="M995" s="8"/>
      <c r="P995" s="8"/>
    </row>
    <row r="996" spans="13:16">
      <c r="M996" s="8"/>
      <c r="P996" s="8"/>
    </row>
    <row r="997" spans="13:16">
      <c r="M997" s="8"/>
      <c r="P997" s="8"/>
    </row>
    <row r="998" spans="13:16">
      <c r="M998" s="8"/>
      <c r="P998" s="8"/>
    </row>
    <row r="999" spans="13:16">
      <c r="M999" s="8"/>
      <c r="P999" s="8"/>
    </row>
    <row r="1000" spans="13:16">
      <c r="M1000" s="8"/>
      <c r="P1000" s="8"/>
    </row>
  </sheetData>
  <customSheetViews>
    <customSheetView guid="{BA86293A-6E21-4B57-9EF3-716588DFB281}" filter="1" showAutoFilter="1">
      <pageMargins left="0.7" right="0.7" top="0.75" bottom="0.75" header="0.3" footer="0.3"/>
      <autoFilter ref="A1:M26" xr:uid="{44EF797A-4689-4CCA-B790-F78D00D4A6AF}"/>
    </customSheetView>
  </customSheetViews>
  <conditionalFormatting sqref="L1:L1000">
    <cfRule type="containsText" dxfId="1" priority="1" operator="containsText" text="RİSKLİ">
      <formula>NOT(ISERROR(SEARCH(("RİSKLİ"),(L1))))</formula>
    </cfRule>
    <cfRule type="containsText" dxfId="0" priority="2" operator="containsText" text="Güvenli">
      <formula>NOT(ISERROR(SEARCH(("Güvenli"),(L1))))</formula>
    </cfRule>
  </conditionalFormatting>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8"/>
  <sheetViews>
    <sheetView showGridLines="0" workbookViewId="0"/>
  </sheetViews>
  <sheetFormatPr defaultColWidth="12.5703125" defaultRowHeight="15.75" customHeight="1"/>
  <sheetData>
    <row r="1" spans="1:6">
      <c r="A1" s="9" t="s">
        <v>51</v>
      </c>
      <c r="B1" s="9" t="s">
        <v>1</v>
      </c>
      <c r="C1" s="10"/>
      <c r="D1" s="10"/>
      <c r="E1" s="10"/>
      <c r="F1" s="11"/>
    </row>
    <row r="2" spans="1:6">
      <c r="A2" s="9" t="s">
        <v>0</v>
      </c>
      <c r="B2" s="12" t="s">
        <v>46</v>
      </c>
      <c r="C2" s="13" t="s">
        <v>47</v>
      </c>
      <c r="D2" s="13" t="s">
        <v>48</v>
      </c>
      <c r="E2" s="13" t="s">
        <v>49</v>
      </c>
      <c r="F2" s="14" t="s">
        <v>50</v>
      </c>
    </row>
    <row r="3" spans="1:6">
      <c r="A3" s="12" t="s">
        <v>19</v>
      </c>
      <c r="B3" s="15"/>
      <c r="C3" s="16">
        <v>24000</v>
      </c>
      <c r="D3" s="16">
        <v>21600</v>
      </c>
      <c r="E3" s="16">
        <v>34800</v>
      </c>
      <c r="F3" s="17">
        <v>80400</v>
      </c>
    </row>
    <row r="4" spans="1:6">
      <c r="A4" s="18" t="s">
        <v>16</v>
      </c>
      <c r="B4" s="19">
        <v>41600</v>
      </c>
      <c r="C4" s="20"/>
      <c r="D4" s="20"/>
      <c r="E4" s="20"/>
      <c r="F4" s="21">
        <v>41600</v>
      </c>
    </row>
    <row r="5" spans="1:6">
      <c r="A5" s="18" t="s">
        <v>23</v>
      </c>
      <c r="B5" s="19"/>
      <c r="C5" s="20"/>
      <c r="D5" s="20">
        <v>24000</v>
      </c>
      <c r="E5" s="20">
        <v>45000</v>
      </c>
      <c r="F5" s="21">
        <v>69000</v>
      </c>
    </row>
    <row r="6" spans="1:6">
      <c r="A6" s="18" t="s">
        <v>7</v>
      </c>
      <c r="B6" s="19">
        <v>25200</v>
      </c>
      <c r="C6" s="20">
        <v>6600</v>
      </c>
      <c r="D6" s="20">
        <v>5400</v>
      </c>
      <c r="E6" s="20"/>
      <c r="F6" s="21">
        <v>37200</v>
      </c>
    </row>
    <row r="7" spans="1:6">
      <c r="A7" s="18" t="s">
        <v>12</v>
      </c>
      <c r="B7" s="19">
        <v>15750</v>
      </c>
      <c r="C7" s="20">
        <v>45000</v>
      </c>
      <c r="D7" s="20">
        <v>11250</v>
      </c>
      <c r="E7" s="20"/>
      <c r="F7" s="21">
        <v>72000</v>
      </c>
    </row>
    <row r="8" spans="1:6">
      <c r="A8" s="22" t="s">
        <v>50</v>
      </c>
      <c r="B8" s="23">
        <v>82550</v>
      </c>
      <c r="C8" s="24">
        <v>75600</v>
      </c>
      <c r="D8" s="24">
        <v>62250</v>
      </c>
      <c r="E8" s="24">
        <v>79800</v>
      </c>
      <c r="F8" s="25">
        <v>300200</v>
      </c>
    </row>
  </sheetData>
  <pageMargins left="0.7" right="0.7" top="0.75" bottom="0.75" header="0.3" footer="0.3"/>
  <drawing r:id="rId2"/>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2</vt:i4>
      </vt:variant>
    </vt:vector>
  </HeadingPairs>
  <TitlesOfParts>
    <vt:vector size="2" baseType="lpstr">
      <vt:lpstr>Tedarik Zinciri Projesi ve CV F</vt:lpstr>
      <vt:lpstr>Pivot Tablo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Hakan Yılmaz</cp:lastModifiedBy>
  <dcterms:modified xsi:type="dcterms:W3CDTF">2026-04-09T09:21:25Z</dcterms:modified>
</cp:coreProperties>
</file>